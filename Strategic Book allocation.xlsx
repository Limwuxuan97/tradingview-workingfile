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suss-my.sharepoint.com/personal/wxlim013_suss_edu_sg/Documents/Tradingview/"/>
    </mc:Choice>
  </mc:AlternateContent>
  <xr:revisionPtr revIDLastSave="1266" documentId="8_{7A6458CB-C3F0-4B05-8AB4-5604A933850D}" xr6:coauthVersionLast="47" xr6:coauthVersionMax="47" xr10:uidLastSave="{29C9E01F-478C-4760-AA5A-E2C9FEFC47E7}"/>
  <bookViews>
    <workbookView xWindow="-110" yWindow="-110" windowWidth="19420" windowHeight="11500" firstSheet="2" activeTab="2" xr2:uid="{5BE2F76F-C711-4259-BB7F-5AB0EC82D875}"/>
  </bookViews>
  <sheets>
    <sheet name="Claude Log" sheetId="7" r:id="rId1"/>
    <sheet name="Summary" sheetId="5" r:id="rId2"/>
    <sheet name="BABA Key Metrics" sheetId="8" r:id="rId3"/>
    <sheet name="DCF Valuation" sheetId="1" r:id="rId4"/>
    <sheet name="Segment Forecasts" sheetId="2" r:id="rId5"/>
    <sheet name="Historical Financials" sheetId="3" r:id="rId6"/>
    <sheet name="China Market Cycle" sheetId="4" r:id="rId7"/>
    <sheet name="To Do" sheetId="6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8" l="1"/>
  <c r="B35" i="8"/>
  <c r="K47" i="8"/>
  <c r="I47" i="8"/>
  <c r="H47" i="8"/>
  <c r="G47" i="8"/>
  <c r="D47" i="8"/>
  <c r="C47" i="8"/>
  <c r="B47" i="8"/>
  <c r="K46" i="8"/>
  <c r="J46" i="8"/>
  <c r="I46" i="8"/>
  <c r="H46" i="8"/>
  <c r="G46" i="8"/>
  <c r="F46" i="8"/>
  <c r="E46" i="8"/>
  <c r="D46" i="8"/>
  <c r="C46" i="8"/>
  <c r="B46" i="8"/>
  <c r="K44" i="8"/>
  <c r="J44" i="8"/>
  <c r="J47" i="8" s="1"/>
  <c r="I44" i="8"/>
  <c r="H44" i="8"/>
  <c r="G44" i="8"/>
  <c r="F44" i="8"/>
  <c r="F47" i="8" s="1"/>
  <c r="E44" i="8"/>
  <c r="E47" i="8" s="1"/>
  <c r="C44" i="8"/>
  <c r="B44" i="8"/>
  <c r="L35" i="8"/>
  <c r="K35" i="8"/>
  <c r="J35" i="8"/>
  <c r="I35" i="8"/>
  <c r="H35" i="8"/>
  <c r="G35" i="8"/>
  <c r="F35" i="8"/>
  <c r="E35" i="8"/>
  <c r="D35" i="8"/>
  <c r="C35" i="8"/>
  <c r="L27" i="8"/>
  <c r="K27" i="8"/>
  <c r="J27" i="8"/>
  <c r="I27" i="8"/>
  <c r="H27" i="8"/>
  <c r="G27" i="8"/>
  <c r="F27" i="8"/>
  <c r="E27" i="8"/>
  <c r="D27" i="8"/>
  <c r="C27" i="8"/>
  <c r="B27" i="8"/>
  <c r="E12" i="8"/>
  <c r="B46" i="1"/>
  <c r="B48" i="1"/>
  <c r="B50" i="1"/>
  <c r="B51" i="1"/>
  <c r="I24" i="2"/>
  <c r="H24" i="2"/>
  <c r="G24" i="2"/>
  <c r="F24" i="2"/>
  <c r="E24" i="2"/>
  <c r="D24" i="2"/>
  <c r="C24" i="2"/>
  <c r="B24" i="2"/>
  <c r="I22" i="2"/>
  <c r="H22" i="2"/>
  <c r="G22" i="2"/>
  <c r="F22" i="2"/>
  <c r="E22" i="2"/>
  <c r="D22" i="2"/>
  <c r="C22" i="2"/>
  <c r="I21" i="2"/>
  <c r="H21" i="2"/>
  <c r="G21" i="2"/>
  <c r="F21" i="2"/>
  <c r="E21" i="2"/>
  <c r="D21" i="2"/>
  <c r="C21" i="2"/>
  <c r="B21" i="2"/>
  <c r="B52" i="1"/>
  <c r="B47" i="1"/>
  <c r="B43" i="1"/>
  <c r="B44" i="1" s="1"/>
  <c r="B42" i="1"/>
  <c r="S36" i="1"/>
  <c r="Q36" i="1"/>
  <c r="P36" i="1"/>
  <c r="O36" i="1"/>
  <c r="N36" i="1"/>
  <c r="C36" i="1"/>
  <c r="B36" i="1"/>
  <c r="B39" i="1" s="1"/>
  <c r="B53" i="1" s="1"/>
  <c r="V35" i="1"/>
  <c r="U35" i="1"/>
  <c r="U36" i="1" s="1"/>
  <c r="T35" i="1"/>
  <c r="T36" i="1" s="1"/>
  <c r="S35" i="1"/>
  <c r="R35" i="1"/>
  <c r="R36" i="1" s="1"/>
  <c r="Q35" i="1"/>
  <c r="P35" i="1"/>
  <c r="O35" i="1"/>
  <c r="N35" i="1"/>
  <c r="M35" i="1"/>
  <c r="M36" i="1" s="1"/>
  <c r="L35" i="1"/>
  <c r="L36" i="1" s="1"/>
  <c r="K35" i="1"/>
  <c r="K36" i="1" s="1"/>
  <c r="J35" i="1"/>
  <c r="J36" i="1" s="1"/>
  <c r="I35" i="1"/>
  <c r="I36" i="1" s="1"/>
  <c r="H35" i="1"/>
  <c r="H36" i="1" s="1"/>
  <c r="G35" i="1"/>
  <c r="G36" i="1" s="1"/>
  <c r="F35" i="1"/>
  <c r="F36" i="1" s="1"/>
  <c r="E35" i="1"/>
  <c r="E36" i="1" s="1"/>
  <c r="D35" i="1"/>
  <c r="D36" i="1" s="1"/>
  <c r="C35" i="1"/>
  <c r="B35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13" i="1"/>
  <c r="B10" i="1"/>
  <c r="L22" i="3"/>
  <c r="K22" i="3"/>
  <c r="J22" i="3"/>
  <c r="I22" i="3"/>
  <c r="H22" i="3"/>
  <c r="G22" i="3"/>
  <c r="F22" i="3"/>
  <c r="E22" i="3"/>
  <c r="D22" i="3"/>
  <c r="C22" i="3"/>
  <c r="B22" i="3"/>
  <c r="L19" i="3"/>
  <c r="K19" i="3"/>
  <c r="J19" i="3"/>
  <c r="I19" i="3"/>
  <c r="H19" i="3"/>
  <c r="G19" i="3"/>
  <c r="F19" i="3"/>
  <c r="E19" i="3"/>
  <c r="D19" i="3"/>
  <c r="C19" i="3"/>
  <c r="B19" i="3"/>
  <c r="L16" i="3"/>
  <c r="K16" i="3"/>
  <c r="J16" i="3"/>
  <c r="I16" i="3"/>
  <c r="H16" i="3"/>
  <c r="G16" i="3"/>
  <c r="F16" i="3"/>
  <c r="E16" i="3"/>
  <c r="D16" i="3"/>
  <c r="C16" i="3"/>
  <c r="B16" i="3"/>
  <c r="L15" i="3"/>
  <c r="J15" i="3"/>
  <c r="I15" i="3"/>
  <c r="H15" i="3"/>
  <c r="G15" i="3"/>
  <c r="F15" i="3"/>
  <c r="E15" i="3"/>
  <c r="D15" i="3"/>
  <c r="C15" i="3"/>
  <c r="B15" i="3"/>
  <c r="L9" i="3"/>
  <c r="K9" i="3"/>
  <c r="J9" i="3"/>
  <c r="I9" i="3"/>
  <c r="H9" i="3"/>
  <c r="G9" i="3"/>
  <c r="F9" i="3"/>
  <c r="E9" i="3"/>
  <c r="D9" i="3"/>
  <c r="C9" i="3"/>
  <c r="B9" i="3"/>
  <c r="L6" i="3"/>
  <c r="K6" i="3"/>
  <c r="J6" i="3"/>
  <c r="I6" i="3"/>
  <c r="H6" i="3"/>
  <c r="G6" i="3"/>
  <c r="F6" i="3"/>
  <c r="E6" i="3"/>
  <c r="D6" i="3"/>
  <c r="C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7" authorId="0" shapeId="0" xr:uid="{E02BFFC1-047C-4384-9D83-631E5D50F6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StockAnalysis.com / Alibaba FY2025 20-F, https://stockanalysis.com/stocks/baba/statistics/</t>
        </r>
      </text>
    </comment>
    <comment ref="E7" authorId="0" shapeId="0" xr:uid="{7C5C0BBE-C62A-4A7E-AD62-85B9C6C024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GuruFocus BABA ROIC (TTM), https://www.gurufocus.com/term/roic/BABA</t>
        </r>
      </text>
    </comment>
    <comment ref="B8" authorId="0" shapeId="0" xr:uid="{D7C1444F-5633-404A-BB4F-089C424A919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StockAnalysis.com, https://stockanalysis.com/stocks/baba/statistics/</t>
        </r>
      </text>
    </comment>
    <comment ref="E8" authorId="0" shapeId="0" xr:uid="{15AE1C88-27A9-477D-9261-63AF13437E9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Derived from Alibaba FY2025 results, https://www.businesswire.com/news/home/20250514856295/en/</t>
        </r>
      </text>
    </comment>
    <comment ref="B9" authorId="0" shapeId="0" xr:uid="{C6DB4177-810B-4313-BC3B-ACD7E878561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Analyst consensus estimates</t>
        </r>
      </text>
    </comment>
    <comment ref="E9" authorId="0" shapeId="0" xr:uid="{329F5E16-0980-4BCA-A3C2-4A13B5705F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Analyst consensus estimates</t>
        </r>
      </text>
    </comment>
    <comment ref="B10" authorId="0" shapeId="0" xr:uid="{9052A5A2-5B2F-4F18-9AEB-E5C832FEA42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Alibaba FY2025 Press Release, US$4.6B dividends, https://www.businesswire.com/news/home/20250514856295/en/</t>
        </r>
      </text>
    </comment>
    <comment ref="E10" authorId="0" shapeId="0" xr:uid="{14AC8764-1EDA-4336-9CBA-FF6A97F1492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Historical Financials sheet, FY2025 estimate</t>
        </r>
      </text>
    </comment>
    <comment ref="B11" authorId="0" shapeId="0" xr:uid="{60E0CCAD-165B-4E9B-916B-8AB77438D32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FinanceCharts.com BABA ROE, https://www.financecharts.com/compare/AMZN,BABA/growth/roe</t>
        </r>
      </text>
    </comment>
    <comment ref="E11" authorId="0" shapeId="0" xr:uid="{579F1AB6-5503-489F-8DF6-43577DA6F3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Calculated from P/E and growth rate</t>
        </r>
      </text>
    </comment>
    <comment ref="B12" authorId="0" shapeId="0" xr:uid="{F2D754C8-9599-4079-A612-15349BD9758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GuruFocus WACC, https://www.gurufocus.com/term/roic/BABA</t>
        </r>
      </text>
    </comment>
    <comment ref="B13" authorId="0" shapeId="0" xr:uid="{E6E3128D-350B-46B6-A6BA-227BACA7665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WiseSheets.io BABA historical ROE, https://www.wisesheets.io/roe/BABA</t>
        </r>
      </text>
    </comment>
    <comment ref="E13" authorId="0" shapeId="0" xr:uid="{23F68E9F-52B7-4A5C-93E2-5C7C574840D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GuruFocus industry median, https://www.gurufocus.com/term/roe/BABA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" authorId="0" shapeId="0" xr:uid="{62A529AB-0C03-45DD-9EF4-1EBB133D522F}">
      <text>
        <r>
          <rPr>
            <b/>
            <sz val="9"/>
            <color indexed="81"/>
            <rFont val="Tahoma"/>
            <charset val="1"/>
          </rPr>
          <t>12% WACC: Risk-free 4% + Beta 1.2 × ERP 5% + China sovereign risk premium 2%</t>
        </r>
      </text>
    </comment>
    <comment ref="B6" authorId="0" shapeId="0" xr:uid="{A5E47473-4F9D-4ACA-BCB9-D8237B0C2C0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Assumption: China nominal GDP long-run growth ~4-5%, discount for maturity</t>
        </r>
      </text>
    </comment>
    <comment ref="B7" authorId="0" shapeId="0" xr:uid="{2AE8C18A-CE78-4E13-AF21-F022FEB2BD6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China HNTE preferential rate 15% for qualifying tech companies</t>
        </r>
      </text>
    </comment>
    <comment ref="B8" authorId="0" shapeId="0" xr:uid="{F0A88394-C203-4288-AEB1-C34D42E6698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Current rate as of Feb 2026, from uploaded analysis</t>
        </r>
      </text>
    </comment>
    <comment ref="B9" authorId="0" shapeId="0" xr:uid="{403D512F-3F43-45D1-9734-21946402ABD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Approx FY2026E. 1 ADS = 8 ordinary shares</t>
        </r>
      </text>
    </comment>
    <comment ref="B11" authorId="0" shapeId="0" xr:uid="{1A17FFEE-B3A9-4328-BEF2-B41A41A210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 FY2026E: ~RMB 500B ($72B), down from RMB 574B due to capex</t>
        </r>
      </text>
    </comment>
    <comment ref="B12" authorId="0" shapeId="0" xr:uid="{4FBF35F1-5606-44CA-B2B3-6C7D458900E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 of Feb 19, 2026 pre-earnings</t>
        </r>
      </text>
    </comment>
    <comment ref="B16" authorId="0" shapeId="0" xr:uid="{3D4C827F-C181-4F4B-8AD1-D50AF259BB2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Alibaba management guidance, FY2025-FY2028. From uploaded PDF.</t>
        </r>
      </text>
    </comment>
    <comment ref="B20" authorId="0" shapeId="0" xr:uid="{0B715F87-51B0-4F3F-A8DE-8435BB0A51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FY26: Weak due to divestitures (Sun Art, Intime). Organic ~12%</t>
        </r>
      </text>
    </comment>
    <comment ref="C20" authorId="0" shapeId="0" xr:uid="{1E9238BC-4852-42D7-99BF-1037E2721D9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Cloud acceleration + commerce recovery + quick commerce scale</t>
        </r>
      </text>
    </comment>
    <comment ref="D20" authorId="0" shapeId="0" xr:uid="{C7450E8C-A43D-439F-A22E-94EA1FEB529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Peak growth: cloud 35%+, AI monetization inflection, AIDC recovery</t>
        </r>
      </text>
    </comment>
    <comment ref="E20" authorId="0" shapeId="0" xr:uid="{33FA5657-B1DF-4C97-BBF2-3DB2502694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Cloud matures to 25-30%, commerce stable</t>
        </r>
      </text>
    </comment>
    <comment ref="B23" authorId="0" shapeId="0" xr:uid="{4205DC9C-D15B-4C7B-83CE-1077D1B04DB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Trough margin: capex cycle + quick commerce burn</t>
        </r>
      </text>
    </comment>
    <comment ref="C23" authorId="0" shapeId="0" xr:uid="{1BDE94C4-7DA7-4961-9C91-9DE4E55196F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Recovery: quick commerce unit econ improve, cloud scale</t>
        </r>
      </text>
    </comment>
    <comment ref="D23" authorId="0" shapeId="0" xr:uid="{3EA05BF2-363B-4D9F-B1BA-4913431E934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AI monetization kicks in, capex peak passes</t>
        </r>
      </text>
    </comment>
    <comment ref="B27" authorId="0" shapeId="0" xr:uid="{B584FB29-C8BF-4D0F-B58E-10BD6E59D82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3.2% of rev — asset-light platform, increasing with AI infra</t>
        </r>
      </text>
    </comment>
    <comment ref="B28" authorId="0" shapeId="0" xr:uid="{1EAE2742-A535-46AF-B84D-3043DC1EF9F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Peak capex cycle FY26: AI infrastructure buildout</t>
        </r>
      </text>
    </comment>
    <comment ref="C28" authorId="0" shapeId="0" xr:uid="{DB7277B3-4797-4307-95C1-74D0DF20BCA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Still heavy but moderating</t>
        </r>
      </text>
    </comment>
    <comment ref="D28" authorId="0" shapeId="0" xr:uid="{96470437-A39F-4211-924B-E1B48D50C1A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Capex plan winding down</t>
        </r>
      </text>
    </comment>
    <comment ref="E28" authorId="0" shapeId="0" xr:uid="{0F03F99D-1DB5-4D95-9AA1-5A4B0F7F3BA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Normalize to maintenance + growth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9BD8F9DE-CF9D-46D7-89D7-9EE76C2BDD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Alibaba FY25 earnings, https://www.businesswire.com/news/home/20250514856295/en/</t>
        </r>
      </text>
    </comment>
    <comment ref="B9" authorId="0" shapeId="0" xr:uid="{4472EEE1-D4CB-473D-91D5-2142F782E87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Estimated from Q2 FY26 run-rate of ~30B/quarter</t>
        </r>
      </text>
    </comment>
    <comment ref="B12" authorId="0" shapeId="0" xr:uid="{B7E3A3A6-0EE3-42C3-A611-C7BDC26DD05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Alibaba FY25 earnings - key growth driver</t>
        </r>
      </text>
    </comment>
    <comment ref="B16" authorId="0" shapeId="0" xr:uid="{3D1B936A-ADED-4D0C-84BA-7BF866C076A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Alibaba filings - AliExpress, Lazada, Trendyol</t>
        </r>
      </text>
    </comment>
    <comment ref="B19" authorId="0" shapeId="0" xr:uid="{BE3A05CA-CC04-496B-9C29-9F583AA7B3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Residual: Local Life, Cainiao logistics, Youku, etc.</t>
        </r>
      </text>
    </comment>
    <comment ref="C19" authorId="0" shapeId="0" xr:uid="{3B51B2D9-D734-42BA-99C3-B311EA8E467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Decline from Sun Art/Intime divestitures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" authorId="0" shapeId="0" xr:uid="{3E09B107-C4BA-4A44-8B02-A10FC2B8B0D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Alibaba 20-F, SEC EDGAR</t>
        </r>
      </text>
    </comment>
    <comment ref="C5" authorId="0" shapeId="0" xr:uid="{C031AA1F-6E67-4203-A430-E8E8D828965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Alibaba 20-F, SEC EDGAR</t>
        </r>
      </text>
    </comment>
    <comment ref="D5" authorId="0" shapeId="0" xr:uid="{A10AC9DF-503B-4E9C-BE05-3CF6E920274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Alibaba 20-F, SEC EDGAR</t>
        </r>
      </text>
    </comment>
    <comment ref="E5" authorId="0" shapeId="0" xr:uid="{AE780705-A98C-46D5-ACD6-C93317E9678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Alibaba 20-F, SEC EDGAR</t>
        </r>
      </text>
    </comment>
    <comment ref="F5" authorId="0" shapeId="0" xr:uid="{BD3329BE-F0B4-4638-8037-3DEE4B50359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Alibaba 20-F, SEC EDGAR</t>
        </r>
      </text>
    </comment>
    <comment ref="G5" authorId="0" shapeId="0" xr:uid="{D6703F41-1AC4-470B-AF44-C5E914CF3F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Alibaba 20-F, SEC EDGAR</t>
        </r>
      </text>
    </comment>
    <comment ref="H5" authorId="0" shapeId="0" xr:uid="{FFA386AA-F115-4E31-A34D-CEA2DED692B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Alibaba 20-F, SEC EDGAR</t>
        </r>
      </text>
    </comment>
    <comment ref="I5" authorId="0" shapeId="0" xr:uid="{8DA85715-9821-432A-94CA-D4768AFED6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Alibaba 20-F, SEC EDGAR</t>
        </r>
      </text>
    </comment>
    <comment ref="J5" authorId="0" shapeId="0" xr:uid="{4BED7EC4-7093-4FCF-86E8-007707E58B2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Alibaba IR, https://www.alibabagroup.com/en-US/ir-financial-reports-financial-results</t>
        </r>
      </text>
    </comment>
    <comment ref="K5" authorId="0" shapeId="0" xr:uid="{F47476DB-AC38-4A12-B5D9-686A7847DC4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BusinessWire/Alibaba IR, https://www.businesswire.com/news/home/20250514856295/en/</t>
        </r>
      </text>
    </comment>
    <comment ref="L5" authorId="0" shapeId="0" xr:uid="{0413E14C-4887-46A8-ACEF-1D4E1DD2199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Consensus estimate compiled from analyst reports + uploaded PDF data</t>
        </r>
      </text>
    </comment>
    <comment ref="K8" authorId="0" shapeId="0" xr:uid="{C6E686A1-24DC-4E22-A113-A130FFDAFBE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BusinessWire/Alibaba IR, https://www.businesswire.com/news/home/20250514856295/en/</t>
        </r>
      </text>
    </comment>
    <comment ref="L8" authorId="0" shapeId="0" xr:uid="{1B8FB0E5-DC99-482F-B0FB-F1BC86EE8E5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Estimate based on Q1+Q2 actuals + Q3/Q4 consensus</t>
        </r>
      </text>
    </comment>
    <comment ref="K11" authorId="0" shapeId="0" xr:uid="{310564C8-2787-4F9B-80C7-92F7C065309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BusinessWire/Alibaba IR, https://www.businesswire.com/news/home/20250514856295/en/</t>
        </r>
      </text>
    </comment>
    <comment ref="K14" authorId="0" shapeId="0" xr:uid="{5C3EB3DC-A2B7-443B-91D6-136AF7CC354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Alibaba filings - massive AI capex ramp</t>
        </r>
      </text>
    </comment>
    <comment ref="L14" authorId="0" shapeId="0" xr:uid="{01362300-D19D-439A-8BD0-E8074DDB359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Estimate: ~RMB 380B over 3 years = ~127B/yr avg</t>
        </r>
      </text>
    </comment>
    <comment ref="K15" authorId="0" shapeId="0" xr:uid="{0417AB0F-D5D7-4C2B-A2C9-BF9677999AF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BusinessWire/Alibaba IR, https://www.businesswire.com/news/home/20250514856295/en/</t>
        </r>
      </text>
    </comment>
    <comment ref="J18" authorId="0" shapeId="0" xr:uid="{AC823F4F-08D4-4415-97BC-F851E8C076A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Macrotrends/SEC filings</t>
        </r>
      </text>
    </comment>
    <comment ref="K18" authorId="0" shapeId="0" xr:uid="{8C94C6DC-2B0D-406E-A267-A57DAE0122B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Macrotrends, https://www.macrotrends.net/stocks/charts/BABA/alibaba/shares-outstanding</t>
        </r>
      </text>
    </comment>
    <comment ref="L18" authorId="0" shapeId="0" xr:uid="{405D1932-A761-408B-B921-E5B14AE3170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Estimate: continued buybacks at reduced pace</t>
        </r>
      </text>
    </comment>
    <comment ref="K21" authorId="0" shapeId="0" xr:uid="{695AD8DD-E640-4DD1-8B9E-EEAD8A16BD5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Uploaded PDF analysis, https://www.alibabagroup.com/en-US/ir-financial-reports-financial-results</t>
        </r>
      </text>
    </comment>
    <comment ref="L21" authorId="0" shapeId="0" xr:uid="{AAFDDBDD-10FB-4537-8ED8-150EDF0920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Estimate: declining due to capex burn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38" authorId="0" shapeId="0" xr:uid="{DD0C53B4-ED82-4F25-8748-5FCF76C12C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NBS China via Trading Economics, https://tradingeconomics.com/china/producer-prices-change</t>
        </r>
      </text>
    </comment>
    <comment ref="G39" authorId="0" shapeId="0" xr:uid="{EA566275-E944-42D6-B4BA-F68E5BC657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NBS China via Trading Economics</t>
        </r>
      </text>
    </comment>
    <comment ref="G40" authorId="0" shapeId="0" xr:uid="{29EDFADC-592D-4737-9E81-559E1DCEAFF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NBS China via Trading Economics</t>
        </r>
      </text>
    </comment>
    <comment ref="G41" authorId="0" shapeId="0" xr:uid="{D3F6FD62-D9F7-4457-AF70-33D1AAC1514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NBS China via Trading Economics</t>
        </r>
      </text>
    </comment>
    <comment ref="G46" authorId="0" shapeId="0" xr:uid="{577335EC-F955-481B-AC5E-99DF6598A71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NBS China via Trading Economics, https://tradingeconomics.com/china/producer-prices-change</t>
        </r>
      </text>
    </comment>
    <comment ref="G53" authorId="0" shapeId="0" xr:uid="{1815052D-2655-4A6B-B212-B556254F04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Fed IFDP Paper 1360, https://www.federalreserve.gov/econres/ifdp/files/ifdp1360.pdf</t>
        </r>
      </text>
    </comment>
    <comment ref="G58" authorId="0" shapeId="0" xr:uid="{316E567C-3A54-4AAF-B9E8-708C8A834A1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Bloomberg, https://www.bloomberg.com/news/articles/2026-02-13/china-posts-solid-credit-expansion-in-january-on-seasonal-boost</t>
        </r>
      </text>
    </comment>
    <comment ref="B65" authorId="0" shapeId="0" xr:uid="{774F67A1-49C0-429C-BA5F-530F629DD07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ISM, https://www.ismworld.org/supply-management-news-and-reports/reports/ism-pmi-reports/</t>
        </r>
      </text>
    </comment>
    <comment ref="C66" authorId="0" shapeId="0" xr:uid="{8F0B279B-22FA-4CFC-B557-6FEE6FA9051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NBS China, https://tradingeconomics.com/china/producer-prices-change</t>
        </r>
      </text>
    </comment>
    <comment ref="C68" authorId="0" shapeId="0" xr:uid="{C6BD75F7-8F8C-485A-BCC1-41234986A7E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J.P. Morgan Private Bank, https://privatebank.jpmorgan.com/apac/en/insights/markets-and-investing/asf/2026-asia-outlook</t>
        </r>
      </text>
    </comment>
    <comment ref="C72" authorId="0" shapeId="0" xr:uid="{FC1F4F09-DE7F-4849-A3B2-2C2CB2540B8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UBS, https://www.ubs.com/global/en/investment-bank/insights-and-data/articles/china-outlook.html</t>
        </r>
      </text>
    </comment>
    <comment ref="D102" authorId="0" shapeId="0" xr:uid="{A1F03C51-ABFC-44BA-9A3E-D1E19F2AA13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Fed minutes, https://www.federalreserve.gov</t>
        </r>
      </text>
    </comment>
    <comment ref="D103" authorId="0" shapeId="0" xr:uid="{0CF0EC5B-B905-42F1-AD4A-9B12F73C8BA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Yahoo Finance, gold ~$5,046 per oz as of Feb 2026</t>
        </r>
      </text>
    </comment>
    <comment ref="D104" authorId="0" shapeId="0" xr:uid="{3691F295-E690-4B61-B57E-E2F600E8377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Motley Fool, ETH 57% of DeFi TVL</t>
        </r>
      </text>
    </comment>
    <comment ref="D106" authorId="0" shapeId="0" xr:uid="{79D16266-6005-4BFA-BF13-B037B36E67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CryptoQuant/LatestLY, https://www.latestly.com/technology/bitcoin-price-today-february-19-2026/</t>
        </r>
      </text>
    </comment>
    <comment ref="D108" authorId="0" shapeId="0" xr:uid="{81DCE4E3-D658-4763-877B-5D773242021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Investing.com, https://www.investing.com/analysis/us-crypto-regulation-sets-the-stage-for-stablecoins-to-enter-core-finance-in-2026-200672588</t>
        </r>
      </text>
    </comment>
    <comment ref="G112" authorId="0" shapeId="0" xr:uid="{96B77BA0-0382-4FF2-A795-0429251DCAE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Investing.com, https://www.investing.com/analysis/us-crypto-regulation-sets-the-stage-for-stablecoins-to-enter-core-finance-in-2026-200672588</t>
        </r>
      </text>
    </comment>
    <comment ref="B113" authorId="0" shapeId="0" xr:uid="{BA343614-96DE-45EA-A2B2-91B07EB0CA3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CryptoNomist, https://en.cryptonomist.ch/2026/02/19/clarity-act-crypto-regulation/</t>
        </r>
      </text>
    </comment>
    <comment ref="G115" authorId="0" shapeId="0" xr:uid="{D0C9FDF9-433E-4881-B137-78FF0DA422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DLNews, https://www.dlnews.com/articles/regulation/key-dates-for-us-crypto-regulation-in-2026/</t>
        </r>
      </text>
    </comment>
    <comment ref="A146" authorId="0" shapeId="0" xr:uid="{F3276AA9-7E90-4C2B-8BAD-9FF9465EA1A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Goldman Sachs / CreditSights, https://www.goldmansachs.com/insights/articles/why-ai-companies-may-invest-more-than-500-billion-in-2026</t>
        </r>
      </text>
    </comment>
    <comment ref="A148" authorId="0" shapeId="0" xr:uid="{93D615C6-B918-42E1-BFCD-71AB5139BEE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Bank of America</t>
        </r>
      </text>
    </comment>
    <comment ref="A149" authorId="0" shapeId="0" xr:uid="{CA2B92A9-FDF3-4E13-BC98-3892C63CCC1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IEEE ComSoc / Kobeissi Letter</t>
        </r>
      </text>
    </comment>
  </commentList>
</comments>
</file>

<file path=xl/sharedStrings.xml><?xml version="1.0" encoding="utf-8"?>
<sst xmlns="http://schemas.openxmlformats.org/spreadsheetml/2006/main" count="1434" uniqueCount="1203">
  <si>
    <t>Alibaba Group - Historical Consolidated Financials (RMB Billions)</t>
  </si>
  <si>
    <t>Fiscal Year (ends Mar 31)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</si>
  <si>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</si>
  <si>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</si>
  <si>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</si>
  <si>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</si>
  <si>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</si>
  <si>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</si>
  <si>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</si>
  <si>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</si>
  <si>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</si>
  <si>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</si>
  <si>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FY2026E</t>
  </si>
  <si>
    <t>Revenue</t>
  </si>
  <si>
    <t xml:space="preserve">  YoY Growth</t>
  </si>
  <si>
    <t>Adj. EBITA</t>
  </si>
  <si>
    <t xml:space="preserve">  EBITA Margin</t>
  </si>
  <si>
    <t>Adj. EBITDA</t>
  </si>
  <si>
    <t>Operating Cash Flow</t>
  </si>
  <si>
    <t>CapEx</t>
  </si>
  <si>
    <t>Free Cash Flow</t>
  </si>
  <si>
    <t xml:space="preserve">  FCF Margin</t>
  </si>
  <si>
    <t>Shares Outstanding (M, ord)</t>
  </si>
  <si>
    <t>ADS Equivalent (M)</t>
  </si>
  <si>
    <t>Net Cash Position</t>
  </si>
  <si>
    <t>FCF per ADS (RMB)</t>
  </si>
  <si>
    <t>ALIBABA GROUP (BABA) — 20-Year DCF Valuation</t>
  </si>
  <si>
    <t>All figures in RMB Billions unless noted</t>
  </si>
  <si>
    <t>KEY ASSUMPTIONS</t>
  </si>
  <si>
    <t>WACC (Weighted Avg Cost of Capital)</t>
  </si>
  <si>
    <t>Terminal Growth Rate</t>
  </si>
  <si>
    <t>Tax Rate (Effective)</t>
  </si>
  <si>
    <t>RMB/USD Exchange Rate</t>
  </si>
  <si>
    <t>Net Cash (RMB B)</t>
  </si>
  <si>
    <t>Current Stock Price (USD)</t>
  </si>
  <si>
    <t>Current Market Cap (RMB B)</t>
  </si>
  <si>
    <t>CAPEX CYCLE ASSUMPTIONS</t>
  </si>
  <si>
    <t>3-Year AI Capex Plan (RMB B)</t>
  </si>
  <si>
    <t>20-YEAR FREE CASH FLOW PROJECTION</t>
  </si>
  <si>
    <t>Metric</t>
  </si>
  <si>
    <t>FY2027E</t>
  </si>
  <si>
    <t>FY2028E</t>
  </si>
  <si>
    <t>FY2029E</t>
  </si>
  <si>
    <t>FY2030E</t>
  </si>
  <si>
    <t>FY2031E</t>
  </si>
  <si>
    <t>FY2032E</t>
  </si>
  <si>
    <t>FY2033E</t>
  </si>
  <si>
    <t>FY2034E</t>
  </si>
  <si>
    <t>FY2035E</t>
  </si>
  <si>
    <t>FY2036E</t>
  </si>
  <si>
    <t>FY2037E</t>
  </si>
  <si>
    <t>FY2038E</t>
  </si>
  <si>
    <t>FY2039E</t>
  </si>
  <si>
    <t>FY2040E</t>
  </si>
  <si>
    <t>FY2041E</t>
  </si>
  <si>
    <t>FY2042E</t>
  </si>
  <si>
    <t>FY2043E</t>
  </si>
  <si>
    <t>FY2044E</t>
  </si>
  <si>
    <t>FY2045E</t>
  </si>
  <si>
    <t>Terminal</t>
  </si>
  <si>
    <t>Revenue Growth Rate</t>
  </si>
  <si>
    <t>Revenue (RMB B)</t>
  </si>
  <si>
    <t>EBIT Margin</t>
  </si>
  <si>
    <t>EBIT (RMB B)</t>
  </si>
  <si>
    <t>Taxes (EBIT × tax rate)</t>
  </si>
  <si>
    <t>NOPAT</t>
  </si>
  <si>
    <t>(+) D&amp;A (% of Rev)</t>
  </si>
  <si>
    <t>(-) CapEx (% of Rev)</t>
  </si>
  <si>
    <t>(-) Chg in NWC (% of Rev)</t>
  </si>
  <si>
    <t>Unlevered FCF</t>
  </si>
  <si>
    <t>Discount Factor</t>
  </si>
  <si>
    <t>PV of FCF</t>
  </si>
  <si>
    <t>VALUATION OUTPUT</t>
  </si>
  <si>
    <t>Sum of PV of FCFs (RMB B)</t>
  </si>
  <si>
    <t>Terminal Value Calculation:</t>
  </si>
  <si>
    <t xml:space="preserve">  Year 20 FCF (RMB B)</t>
  </si>
  <si>
    <t xml:space="preserve">  Terminal Value = FCF×(1+g)/(WACC-g)</t>
  </si>
  <si>
    <t xml:space="preserve">  PV of Terminal Value</t>
  </si>
  <si>
    <t>Enterprise Value (RMB B)</t>
  </si>
  <si>
    <t>(+) Net Cash (RMB B)</t>
  </si>
  <si>
    <t>Equity Value (RMB B)</t>
  </si>
  <si>
    <t>Intrinsic Value per ADS (RMB)</t>
  </si>
  <si>
    <t>Intrinsic Value per ADS (USD)</t>
  </si>
  <si>
    <t>Current Price (USD)</t>
  </si>
  <si>
    <t>Upside / (Downside)</t>
  </si>
  <si>
    <t>SENSITIVITY TABLE: Intrinsic Value per ADS (USD)</t>
  </si>
  <si>
    <t>WACC ↓  /  Terminal g →</t>
  </si>
  <si>
    <t>CHINA MARKET CYCLE &amp; BABA TIMING FRAMEWORK</t>
  </si>
  <si>
    <t>Integrating 41-Month Kitchin Cycle, China PPI, and BABA Equity Cycles</t>
  </si>
  <si>
    <t>41-MONTH KITCHIN CYCLE — BABA TROUGH HISTORY</t>
  </si>
  <si>
    <t>Cycle</t>
  </si>
  <si>
    <t>Trough Date</t>
  </si>
  <si>
    <t>Trough Price</t>
  </si>
  <si>
    <t>Peak Date</t>
  </si>
  <si>
    <t>Peak Price</t>
  </si>
  <si>
    <t>Trough-to-Trough (months)</t>
  </si>
  <si>
    <t>Notes</t>
  </si>
  <si>
    <t>C1</t>
  </si>
  <si>
    <t>—</t>
  </si>
  <si>
    <t>IPO shakeout + China market crash</t>
  </si>
  <si>
    <t>C2</t>
  </si>
  <si>
    <t>Trade war bottom → Ant Financial euphoria</t>
  </si>
  <si>
    <t>C3</t>
  </si>
  <si>
    <t>Zero-COVID + tech crackdown extended cycle</t>
  </si>
  <si>
    <t>C4 (projected)</t>
  </si>
  <si>
    <t>Mar-Apr 2026</t>
  </si>
  <si>
    <t>$125-140</t>
  </si>
  <si>
    <t>$260-300</t>
  </si>
  <si>
    <t>Projected: shallow dip, AI-driven recovery</t>
  </si>
  <si>
    <t>Average spacing</t>
  </si>
  <si>
    <t>≈ Kitchin's theoretical 41 months</t>
  </si>
  <si>
    <t>CHINA vs US CYCLE PHASE COMPARISON</t>
  </si>
  <si>
    <t>Period</t>
  </si>
  <si>
    <t>China Phase</t>
  </si>
  <si>
    <t>US Phase</t>
  </si>
  <si>
    <t>Relative Trade</t>
  </si>
  <si>
    <t>BABA Target</t>
  </si>
  <si>
    <t>SPX Target</t>
  </si>
  <si>
    <t>Action</t>
  </si>
  <si>
    <t>Feb-Apr 2026</t>
  </si>
  <si>
    <t>C4 Trough (correlated dip)</t>
  </si>
  <si>
    <t>Rolling over from peak</t>
  </si>
  <si>
    <t>China = US (both weak)</t>
  </si>
  <si>
    <t>$135-155</t>
  </si>
  <si>
    <t>5,600-5,900</t>
  </si>
  <si>
    <t>ACCUMULATE BABA on dips</t>
  </si>
  <si>
    <t>May-Jul 2026</t>
  </si>
  <si>
    <t>Re-acceleration phase</t>
  </si>
  <si>
    <t>Decline accelerating</t>
  </si>
  <si>
    <t>China &gt;&gt; US</t>
  </si>
  <si>
    <t>$170-200</t>
  </si>
  <si>
    <t>5,200-5,600</t>
  </si>
  <si>
    <t>OVERWEIGHT China vs US</t>
  </si>
  <si>
    <t>Aug-Oct 2026</t>
  </si>
  <si>
    <t>Expansion (65-80%)</t>
  </si>
  <si>
    <t>Approaching trough</t>
  </si>
  <si>
    <t>$185-215</t>
  </si>
  <si>
    <t>4,800-5,400</t>
  </si>
  <si>
    <t>HOLD BABA, watch US for entry</t>
  </si>
  <si>
    <t>Nov 2026-Mar 2027</t>
  </si>
  <si>
    <t>Expansion (80-90%)</t>
  </si>
  <si>
    <t>US trough → recovery</t>
  </si>
  <si>
    <t>Both strong</t>
  </si>
  <si>
    <t>$195-230</t>
  </si>
  <si>
    <t>5,200-5,800</t>
  </si>
  <si>
    <t>ADD SPX exposure, hold BABA</t>
  </si>
  <si>
    <t>Apr-Dec 2027</t>
  </si>
  <si>
    <t>Approaching C4 peak</t>
  </si>
  <si>
    <t>Recovery phase</t>
  </si>
  <si>
    <t>Converging</t>
  </si>
  <si>
    <t>$240-300</t>
  </si>
  <si>
    <t>5,800-6,400</t>
  </si>
  <si>
    <t>PEAK BABA zone — begin trimming</t>
  </si>
  <si>
    <t>C4 peak → rollover</t>
  </si>
  <si>
    <t>Expansion phase</t>
  </si>
  <si>
    <t>US &gt;&gt; China</t>
  </si>
  <si>
    <t>$200-260</t>
  </si>
  <si>
    <t>6,200-6,800</t>
  </si>
  <si>
    <t>ROTATE to US/BTC</t>
  </si>
  <si>
    <t>CHINA OUTPERFORMANCE THESIS</t>
  </si>
  <si>
    <t>Factor</t>
  </si>
  <si>
    <t>Evidence</t>
  </si>
  <si>
    <t>Impact</t>
  </si>
  <si>
    <t>Timing</t>
  </si>
  <si>
    <t>Kitchin Phase Lead</t>
  </si>
  <si>
    <t>China troughed Oct 2022, US peaks mid-2025</t>
  </si>
  <si>
    <t>China 12-18 months ahead</t>
  </si>
  <si>
    <t>Through 2027</t>
  </si>
  <si>
    <t>USD Weakness</t>
  </si>
  <si>
    <t>Newton: USD to new lows by summer 2026</t>
  </si>
  <si>
    <t>Direct RMB tailwind for BABA</t>
  </si>
  <si>
    <t>Feb-Jul 2026</t>
  </si>
  <si>
    <t>PBOC Easing</t>
  </si>
  <si>
    <t>Moderately accommodative policy, fiscal stimulus</t>
  </si>
  <si>
    <t>Credit impulse → restocking</t>
  </si>
  <si>
    <t>2026 full year</t>
  </si>
  <si>
    <t>15th Five-Year Plan</t>
  </si>
  <si>
    <t>AI + 'new quality productive forces' mandate</t>
  </si>
  <si>
    <t>State-sponsored TAM for cloud</t>
  </si>
  <si>
    <t>2026-2030</t>
  </si>
  <si>
    <t>Regulatory Normalization</t>
  </si>
  <si>
    <t>Jack Ma rehabilitation, antitrust concluded</t>
  </si>
  <si>
    <t>De-risk multiple compression</t>
  </si>
  <si>
    <t>Ongoing</t>
  </si>
  <si>
    <t>Valuation Gap</t>
  </si>
  <si>
    <t>BABA 17.9x fwd PE vs US peers 35-50x</t>
  </si>
  <si>
    <t>Mean reversion potential</t>
  </si>
  <si>
    <t>Gradual through 2027</t>
  </si>
  <si>
    <t>ALIBABA — SEGMENT REVENUE FORECASTS (RMB Billions)</t>
  </si>
  <si>
    <t>Segment-level projections driving the consolidated DCF</t>
  </si>
  <si>
    <t>Segment</t>
  </si>
  <si>
    <t>FY25A</t>
  </si>
  <si>
    <t>FY26E</t>
  </si>
  <si>
    <t>FY27E</t>
  </si>
  <si>
    <t>FY28E</t>
  </si>
  <si>
    <t>FY29E</t>
  </si>
  <si>
    <t>FY30E</t>
  </si>
  <si>
    <t>FY35E</t>
  </si>
  <si>
    <t>FY45E</t>
  </si>
  <si>
    <t>China Commerce (CMR)</t>
  </si>
  <si>
    <t>Quick Commerce</t>
  </si>
  <si>
    <t>Cloud Intelligence</t>
  </si>
  <si>
    <t xml:space="preserve">  AI Revenue (% of Cloud)</t>
  </si>
  <si>
    <t>AIDC (International)</t>
  </si>
  <si>
    <t>Local Life / Cainiao / Other</t>
  </si>
  <si>
    <t>TOTAL REVENUE</t>
  </si>
  <si>
    <t>CLOUD MIX (% of Total)</t>
  </si>
  <si>
    <t>KEY INSIGHT: Cloud goes from 12% to ~41% of revenue over 20 years — this is the AWS transformation thesis</t>
  </si>
  <si>
    <t>Commerce becomes the stable cash cow funding AI infrastructure investment</t>
  </si>
  <si>
    <t>ALIBABA GROUP (BABA) — COMPREHENSIVE VALUATION &amp; MARKET CYCLE ANALYSIS</t>
  </si>
  <si>
    <t>Prepared: February 20, 2026  |  Price: $163/ADS  |  Mkt Cap: ~$47B USD</t>
  </si>
  <si>
    <t>INTRINSIC VALUE SUMMARY</t>
  </si>
  <si>
    <t>Method</t>
  </si>
  <si>
    <t>Value/ADS (USD)</t>
  </si>
  <si>
    <t>Upside</t>
  </si>
  <si>
    <t>Key Assumptions</t>
  </si>
  <si>
    <t>20-Year DCF (Base: 12% WACC, 3% TG)</t>
  </si>
  <si>
    <t>Revenue grows 3-14% declining; EBIT margin expands to 22%; Capex normalizes by FY2030</t>
  </si>
  <si>
    <t>DCF Bear Case (18% WACC, 1.5% TG)</t>
  </si>
  <si>
    <t>Extreme China risk premium, minimal terminal growth</t>
  </si>
  <si>
    <t>Analyst Consensus (12-mo PT)</t>
  </si>
  <si>
    <t>$195-225</t>
  </si>
  <si>
    <t>20-38%</t>
  </si>
  <si>
    <t>Citi $225, Jefferies $225, Morgan Stanley $180</t>
  </si>
  <si>
    <t>Apply 25x to FY27E non-GAAP EPS ~$9.10</t>
  </si>
  <si>
    <t>WHY THE MASSIVE DCF vs MARKET GAP?</t>
  </si>
  <si>
    <t>3. ADR Delisting Risk — HFCAA compliance, though mitigated by HK dual-listing</t>
  </si>
  <si>
    <t>4. Capital Controls — Repatriation of profits is subject to Chinese government approval</t>
  </si>
  <si>
    <t>5. Geopolitical Tail Risk — Taiwan scenario could freeze all Chinese assets</t>
  </si>
  <si>
    <t>41-MONTH CYCLE TIMING &amp; PRICE TARGETS</t>
  </si>
  <si>
    <t>Window</t>
  </si>
  <si>
    <t>Cycle Phase</t>
  </si>
  <si>
    <t>China vs US</t>
  </si>
  <si>
    <t>C4 Trough — max fear</t>
  </si>
  <si>
    <t>Both weak</t>
  </si>
  <si>
    <t>ACCUMULATE</t>
  </si>
  <si>
    <t>Re-acceleration</t>
  </si>
  <si>
    <t>OVERWEIGHT CHINA</t>
  </si>
  <si>
    <t>Aug-Dec 2026</t>
  </si>
  <si>
    <t>$185-230</t>
  </si>
  <si>
    <t>Expansion (65-90%)</t>
  </si>
  <si>
    <t>China leads</t>
  </si>
  <si>
    <t>HOLD, add on dips</t>
  </si>
  <si>
    <t>Jan-Dec 2027</t>
  </si>
  <si>
    <t>Approaching C4 Peak</t>
  </si>
  <si>
    <t>2028+</t>
  </si>
  <si>
    <t>Rollover begins</t>
  </si>
  <si>
    <t>ROTATE to US / BTC</t>
  </si>
  <si>
    <t>Forward P/E (17.9x to 25x re-rate)</t>
  </si>
  <si>
    <t>The $1,200+ DCF gap to market price reflects the China Discount — sovereign risk not modeled in standard DCF:</t>
  </si>
  <si>
    <t>1. VIE Structure Risk — Investors own a Cayman shell entity, not direct equity in Alibaba</t>
  </si>
  <si>
    <t>2. Regulatory Tail Risk — CCP can restructure, fine, or dismember the company at will (Ant Group IPO)</t>
  </si>
  <si>
    <t>IMPLICATION: True risk-adjusted value sits between DCF bear ($763) and analyst consensus ($195-225)</t>
  </si>
  <si>
    <t>PEAK ZONE — trim</t>
  </si>
  <si>
    <t>CHINA OUTPERFORMANCE WINDOW: May 2026 to December 2027</t>
  </si>
  <si>
    <t>Newton macro: USD weakness + falling yields + EM breakout + commodity reflation ALL favor China equities</t>
  </si>
  <si>
    <t>Kitchin divergence: China 12-18 months AHEAD of US. China restocking while US destocking.</t>
  </si>
  <si>
    <t>15th Five-Year Plan: State-mandated AI spending creates guaranteed TAM for Alibaba Cloud through 2030</t>
  </si>
  <si>
    <t>SEGMENT TRANSFORMATION THESIS</t>
  </si>
  <si>
    <t>Cloud: 12% of revenue today to 41% by FY2045. The AWS of the East thesis. 35%+ growth FY26-27.</t>
  </si>
  <si>
    <t>Commerce: Stable 6-8% CMR growth. Quick commerce subsidy war near inflection. 88VIP at 56M+ members.</t>
  </si>
  <si>
    <t>AI/Qwen: World #1 open-source model family. 180K+ derivatives on HuggingFace. Agentic commerce breakthrough.</t>
  </si>
  <si>
    <t>Capex Cycle: RMB 380B 3-year plan. Peak pain FY26. FCF inflection FY27. Normalized by FY29-30.</t>
  </si>
  <si>
    <t>CHINA PPI CYCLE — THE INVENTORY HEARTBEAT</t>
  </si>
  <si>
    <t>China's PPI (Producer Price Index) is the purest proxy for the Kitchin inventory cycle in China.</t>
  </si>
  <si>
    <t>Manufacturing = 28% of China GDP vs ~11% in the US, so inventory oscillations hit HARDER and FASTER.</t>
  </si>
  <si>
    <t>PPI Cycle</t>
  </si>
  <si>
    <t>Trough (YoY low)</t>
  </si>
  <si>
    <t>Peak (YoY high)</t>
  </si>
  <si>
    <t>Trough-to-Trough</t>
  </si>
  <si>
    <t>PPI Trough Value</t>
  </si>
  <si>
    <t>PPI Peak Value</t>
  </si>
  <si>
    <t>Reasoning / Driver</t>
  </si>
  <si>
    <t>PPI-C1</t>
  </si>
  <si>
    <t>Post-GFC stimulus hangover; steel/coal overcapacity</t>
  </si>
  <si>
    <t>PPI-C2</t>
  </si>
  <si>
    <t>36 months</t>
  </si>
  <si>
    <t>Supply-side reform (coal/steel closures); commodity super-trough</t>
  </si>
  <si>
    <t>PPI-C3</t>
  </si>
  <si>
    <t>~57 months</t>
  </si>
  <si>
    <t>COVID shutdown → explosive commodity restocking; US fiscal stimulus blowthrough</t>
  </si>
  <si>
    <t>PPI-C4</t>
  </si>
  <si>
    <t>?? (not yet)</t>
  </si>
  <si>
    <t>~36 months</t>
  </si>
  <si>
    <t>TBD</t>
  </si>
  <si>
    <t>Deepest deflation since 2015. Property collapse + overcapacity + weak demand</t>
  </si>
  <si>
    <t>PPI-C5 (proj)</t>
  </si>
  <si>
    <t>Mid-2026?</t>
  </si>
  <si>
    <t>2028?</t>
  </si>
  <si>
    <t>If anti-involution policy + fiscal stimulus + AI capex reignite demand</t>
  </si>
  <si>
    <t>~37-39 months</t>
  </si>
  <si>
    <t>Shorter than US Kitchin (~41mo) due to faster inventory turnover in China</t>
  </si>
  <si>
    <t>CURRENT STATE (Feb 2026):</t>
  </si>
  <si>
    <t>PPI YoY = -1.4% (Jan 2026). 40th consecutive month of contraction.</t>
  </si>
  <si>
    <t>BUT: MoM PPI = +0.4% (Jan 2026) — fastest monthly rise since Sep 2023. The RATE OF DECLINE is slowing.</t>
  </si>
  <si>
    <t>This is the classic Kitchin C4 trough signature: YoY still negative but MoM turning positive = second derivative inflecting.</t>
  </si>
  <si>
    <t>CHINA CREDIT IMPULSE (PBOC/TSF CYCLE)</t>
  </si>
  <si>
    <t>The credit impulse (change in new credit as % of GDP) is the PRIMARY LEADING INDICATOR for China's PPI and equity cycles.</t>
  </si>
  <si>
    <t>Federal Reserve research confirms: China's credit impulse drives the global financial cycle (not just China).</t>
  </si>
  <si>
    <t>Phase</t>
  </si>
  <si>
    <t>TSF / Credit Signal</t>
  </si>
  <si>
    <t>PPI Effect (lag 6-9mo)</t>
  </si>
  <si>
    <t>Equity Effect (lag 3-6mo)</t>
  </si>
  <si>
    <t>BABA Effect</t>
  </si>
  <si>
    <t>Reasoning</t>
  </si>
  <si>
    <t>Credit Tightening</t>
  </si>
  <si>
    <t>2021-2023</t>
  </si>
  <si>
    <t>TSF growth fell; shadow banking crackdown</t>
  </si>
  <si>
    <t>PPI -5.4% trough Jun 2023</t>
  </si>
  <si>
    <t>CSI 300 fell 45% from peak</t>
  </si>
  <si>
    <t>BABA fell from $319 to $58</t>
  </si>
  <si>
    <t>Ant Group IPO killed → tech crackdown → property collapse → deflationary spiral</t>
  </si>
  <si>
    <t>Credit Bottoming</t>
  </si>
  <si>
    <t>Late 2023-2024</t>
  </si>
  <si>
    <t>Sep 2024 PBOC mega-stimulus: RRR cut + rate cuts + stock market facilities</t>
  </si>
  <si>
    <t>PPI deflation narrowing: -5.4% → -2.8%</t>
  </si>
  <si>
    <t>CSI 300 rallied 30% Sep-Oct 2024</t>
  </si>
  <si>
    <t>BABA doubled from $58 to $117</t>
  </si>
  <si>
    <t>PBOC deployed 2 NEW tools (SFISF + share buyback lending) — unprecedented capital market support</t>
  </si>
  <si>
    <t>Credit Expansion</t>
  </si>
  <si>
    <t>2025-Present</t>
  </si>
  <si>
    <t>Jan 2026 TSF = RMB 7.2T (beat est); fiscal deficit &gt;4% GDP; PBOC needs ~RMB 3.65T liquidity in 2026</t>
  </si>
  <si>
    <t>PPI MoM turning positive; YoY deflation narrowing to -1.4%</t>
  </si>
  <si>
    <t>CSI 300 up ~25% from Oct 2024 lows</t>
  </si>
  <si>
    <t>BABA at $163 (+180% from $58 low)</t>
  </si>
  <si>
    <t>Fiscal policy leading credit growth (&gt;50% of TSF is govt-driven). Anti-involution policy reducing price war intensity.</t>
  </si>
  <si>
    <t>Credit Peak (proj)</t>
  </si>
  <si>
    <t>Late 2027-2028</t>
  </si>
  <si>
    <t>Stimulus fades as 15th FYP spending stabilizes; property drag narrows</t>
  </si>
  <si>
    <t>PPI turns positive mid-2026; peaks mid-2027</t>
  </si>
  <si>
    <t>Equities peak ~Dec 2027 (matches BABA C4 peak)</t>
  </si>
  <si>
    <t>BABA $260-300 cycle peak</t>
  </si>
  <si>
    <t>Historical lag: credit impulse peaks → PPI peaks 6-9mo later → equities peak 3-6mo after PPI</t>
  </si>
  <si>
    <t>US vs CHINA MACRO DIVERGENCE — THE CORE THESIS</t>
  </si>
  <si>
    <t>Indicator</t>
  </si>
  <si>
    <t>US (Current)</t>
  </si>
  <si>
    <t>China (Current)</t>
  </si>
  <si>
    <t>US Direction</t>
  </si>
  <si>
    <t>China Direction</t>
  </si>
  <si>
    <t>Divergence</t>
  </si>
  <si>
    <t>Implication for BABA</t>
  </si>
  <si>
    <t>Manufacturing PMI</t>
  </si>
  <si>
    <t>ISM 52.6 (Jan 2026) — 1st expansion in 12 months</t>
  </si>
  <si>
    <t>Caixin PMI ~51 (stabilizing)</t>
  </si>
  <si>
    <t>↑ Bouncing but tariff-driven, not organic</t>
  </si>
  <si>
    <t>→ Flat to slightly improving</t>
  </si>
  <si>
    <t>US = late-cycle restock; China = early-cycle</t>
  </si>
  <si>
    <t>US bounce is FRONT-RUNNING tariffs (buy ahead). Not sustainable. China's is structural.</t>
  </si>
  <si>
    <t>PPI / Producer Prices</t>
  </si>
  <si>
    <t>US PPI +3.3% YoY (inflationary)</t>
  </si>
  <si>
    <t>China PPI -1.4% YoY (40th month deflation)</t>
  </si>
  <si>
    <t>↓ Likely peaks as economy slows</t>
  </si>
  <si>
    <t>↑ Second derivative turning positive</t>
  </si>
  <si>
    <t>180-degree OPPOSITE phase</t>
  </si>
  <si>
    <t>US has PRICING POWER problem (margin squeeze). China has VOLUME problem (solved by demand stimulus).</t>
  </si>
  <si>
    <t>Monetary Policy</t>
  </si>
  <si>
    <t>Fed: Paused at 4.25-4.50%</t>
  </si>
  <si>
    <t>PBOC: Cutting rates, RRR cuts, new tools</t>
  </si>
  <si>
    <t>→ On hold; risk of stagflation</t>
  </si>
  <si>
    <t>↓ Easing aggressively</t>
  </si>
  <si>
    <t>China LOOSENING while US STUCK</t>
  </si>
  <si>
    <t>Easing = credit expansion = restocking = PPI recovery = equity re-rate</t>
  </si>
  <si>
    <t>Fiscal Stance</t>
  </si>
  <si>
    <t>US: Deficit ~6-7% GDP but no new stimulus</t>
  </si>
  <si>
    <t>China: Deficit &gt;4% GDP, expansionary</t>
  </si>
  <si>
    <t>→ Neutral to tightening</t>
  </si>
  <si>
    <t>↑ Actively expanding</t>
  </si>
  <si>
    <t>China fiscal impulse POSITIVE</t>
  </si>
  <si>
    <t>15th FYP: AI/tech is THE priority sector = Alibaba Cloud guaranteed demand</t>
  </si>
  <si>
    <t>Currency</t>
  </si>
  <si>
    <t>USD weakening (Newton thesis)</t>
  </si>
  <si>
    <t>RMB strengthened to 6.92/USD (+5.4% YoY)</t>
  </si>
  <si>
    <t>↓ Newton: new lows by summer</t>
  </si>
  <si>
    <t>↑ Appreciating on capital inflows</t>
  </si>
  <si>
    <t>DOUBLE tailwind for BABA ADRs</t>
  </si>
  <si>
    <t>Weak USD + strong RMB = BABA earnings worth MORE in dollar terms</t>
  </si>
  <si>
    <t>Inventory Cycle Phase</t>
  </si>
  <si>
    <t>Late-cycle DESTOCKING beginning</t>
  </si>
  <si>
    <t>Early-cycle RESTOCKING underway</t>
  </si>
  <si>
    <t>↓ ISM inventories 47.6 (contracting)</t>
  </si>
  <si>
    <t>↑ PMI inventory rebuilding</t>
  </si>
  <si>
    <t>12-18 month phase gap</t>
  </si>
  <si>
    <t>This is the KITCHIN DIVERGENCE. China leads US by a full half-cycle.</t>
  </si>
  <si>
    <t>Equity Valuation</t>
  </si>
  <si>
    <t>SPX at ~38x CAPE (97th percentile)</t>
  </si>
  <si>
    <t>CSI 300 at ~13x PE (30th percentile)</t>
  </si>
  <si>
    <t>↓ Mean reversion risk HIGH</t>
  </si>
  <si>
    <t>↑ Massive upside to mean</t>
  </si>
  <si>
    <t>Valuation gap = widest since 2004</t>
  </si>
  <si>
    <t>Capital rotation from expensive US → cheap China. This IS the trade.</t>
  </si>
  <si>
    <t>GDP Growth</t>
  </si>
  <si>
    <t>US: ~2.0% (slowing from 2.8%)</t>
  </si>
  <si>
    <t>China: 4.3-4.5% (stable)</t>
  </si>
  <si>
    <t>↓ Decelerating</t>
  </si>
  <si>
    <t>→ Stable with upside from stimulus</t>
  </si>
  <si>
    <t>Growth premium shifting to China</t>
  </si>
  <si>
    <t>UBS: 4.5% in 2026, 4.6% in 2027. Property drag narrowing from -2ppt to -0.5ppt.</t>
  </si>
  <si>
    <t>CONCLUSION: Every single macro indicator shows China and the US in OPPOSITE cycle phases.</t>
  </si>
  <si>
    <t>THE REASONING CHAIN: WHY CHINA STOCKS OUTPERFORM US IN 2026-2027</t>
  </si>
  <si>
    <t>Step</t>
  </si>
  <si>
    <t>Mechanism</t>
  </si>
  <si>
    <t>Confidence</t>
  </si>
  <si>
    <t>1. PBOC eases</t>
  </si>
  <si>
    <t>Rate cuts + RRR cuts + fiscal expansion inject liquidity into system</t>
  </si>
  <si>
    <t>Jan 2026 TSF beat expectations at RMB 7.2T. PBOC needs to release ~RMB 3.65T in 2026. Fiscal deficit &gt;4% GDP.</t>
  </si>
  <si>
    <t>Already happening</t>
  </si>
  <si>
    <t>HIGH</t>
  </si>
  <si>
    <t>2. Credit impulse turns positive</t>
  </si>
  <si>
    <t>New credit creation accelerates relative to GDP → more money chasing goods</t>
  </si>
  <si>
    <t>Govt bond issuance now &gt;50% of TSF. Private credit still weak but fiscal is substituting. Net effect: positive impulse.</t>
  </si>
  <si>
    <t>Q1-Q2 2026</t>
  </si>
  <si>
    <t>MEDIUM-HIGH</t>
  </si>
  <si>
    <t>3. PPI deflation bottoms</t>
  </si>
  <si>
    <t>Credit impulse → demand recovery → inventories deplete → restocking begins → producer prices rise</t>
  </si>
  <si>
    <t>PPI MoM already +0.4% (Jan 2026, fastest since Sep 2023). YoY narrowing from -5.4% to -1.4%. Anti-involution policy reducing price wars.</t>
  </si>
  <si>
    <t>Mid-2026 (YoY crosses 0%)</t>
  </si>
  <si>
    <t>4. Corporate margins recover</t>
  </si>
  <si>
    <t>Rising PPI = pricing power returns = EBIT margins expand = earnings beat</t>
  </si>
  <si>
    <t>Historically, CSI 300 earnings growth follows PPI by 2-3 quarters. BABA Cloud margins already improving as AI workloads scale.</t>
  </si>
  <si>
    <t>H2 2026 - H1 2027</t>
  </si>
  <si>
    <t>5. Multiple re-rates</t>
  </si>
  <si>
    <t>Better earnings + de-risking (trade truce, Jack Ma rehab) = PE expansion</t>
  </si>
  <si>
    <t>BABA at 17.9x fwd PE vs historical 20-25x. CSI 300 at 13x vs long-run 15-17x. US CAPE at 38x = fragile.</t>
  </si>
  <si>
    <t>2027 (gradual)</t>
  </si>
  <si>
    <t>MEDIUM</t>
  </si>
  <si>
    <t>6. USD weakens</t>
  </si>
  <si>
    <t>Falling USD = EM assets worth more in dollar terms = capital inflows to China</t>
  </si>
  <si>
    <t>Newton: USD to new lows by summer 2026. RMB already +5.4% YoY. Double benefit: earnings + translation.</t>
  </si>
  <si>
    <t>7. US equities correct</t>
  </si>
  <si>
    <t>41-month Kitchin cycle peaks in US → SPX declines 15-20% → relative capital rotation to EM/China</t>
  </si>
  <si>
    <t>Newton: SPX trough 5,631-5,877 by Oct 2026. ISM manufacturing contracted 10 of last 12 months. 85% of mfg GDP in contraction Dec 2025.</t>
  </si>
  <si>
    <t>Mar-Oct 2026</t>
  </si>
  <si>
    <t>NET RESULT: China equities (and BABA specifically) outperform S&amp;P 500 from May 2026 through December 2027.</t>
  </si>
  <si>
    <t>RISKS TO THE THESIS:</t>
  </si>
  <si>
    <t>1. Trade truce expires Nov 10, 2026 → tariff re-escalation could crush China equities</t>
  </si>
  <si>
    <t>2. Property market fails to stabilize → deflationary spiral deepens, credit impulse is ineffective</t>
  </si>
  <si>
    <t>3. Taiwan crisis → all bets off, Chinese assets frozen</t>
  </si>
  <si>
    <t>4. US avoids recession (soft landing) → SPX doesn't correct, no rotation pressure</t>
  </si>
  <si>
    <t>CRYPTO CYCLE ANALYSIS: BTC &amp; ETH — HAS IT DECOUPLED FROM MACRO?</t>
  </si>
  <si>
    <t>BTC: ~$67K (down 47% from $126K ATH in Oct 2025)  |  ETH: ~$1,950 (down 60% from $4,900 peak)  |  Fear &amp; Greed Index: 13/100 (Extreme Fear)</t>
  </si>
  <si>
    <t>THE FUNDAMENTAL DECOUPLING QUESTION</t>
  </si>
  <si>
    <t>Pre-2024 (Followed Macro)</t>
  </si>
  <si>
    <t>2024-2025 (ETF Era)</t>
  </si>
  <si>
    <t>2026 (Current)</t>
  </si>
  <si>
    <t>Still Relevant?</t>
  </si>
  <si>
    <t>Verdict</t>
  </si>
  <si>
    <t>US ISM/PMI</t>
  </si>
  <si>
    <t>Highly correlated. BTC tracked ISM closely 2017-2023.</t>
  </si>
  <si>
    <t>Correlation broke. ETFs drove price independent of PMI.</t>
  </si>
  <si>
    <t>ISM 52.6 (expanding) but BTC falling. CONFIRMED DECOUPLING.</t>
  </si>
  <si>
    <t>WEAKENED</t>
  </si>
  <si>
    <t>PMI no longer leads BTC</t>
  </si>
  <si>
    <t>ETF flows + halving cycle now dominate. ISM bounce was tariff front-running, not organic demand.</t>
  </si>
  <si>
    <t>Fed Interest Rates</t>
  </si>
  <si>
    <t>Very high correlation. Rate cuts = BTC rally.</t>
  </si>
  <si>
    <t>Mixed. BTC rallied into rate cuts then sold the news.</t>
  </si>
  <si>
    <t>Fed paused at 4.25-4.50%. Higher-for-longer = risk-off.</t>
  </si>
  <si>
    <t>STILL RELEVANT</t>
  </si>
  <si>
    <t>Rates still matter for BTC</t>
  </si>
  <si>
    <t>Real rates &gt;2% = opportunity cost of holding zero-yield BTC too high. Rate CUTS are the unlock.</t>
  </si>
  <si>
    <t>Gold / Copper Ratio</t>
  </si>
  <si>
    <t>Gold/copper rising = risk-off = BTC weak. Historically tracked.</t>
  </si>
  <si>
    <t>Gold went parabolic ($5,000+). BTC did NOT follow.</t>
  </si>
  <si>
    <t>Gold $5,046. Silver volatile. BTC diverging from both.</t>
  </si>
  <si>
    <t>BROKEN</t>
  </si>
  <si>
    <t>BTC ≠ digital gold anymore</t>
  </si>
  <si>
    <t>Institutional BTC = risk asset, not safe haven. Gold rallies on war/inflation, BTC sells off. "Digital gold" thesis DEAD for now.</t>
  </si>
  <si>
    <t>TVL (DeFi Locked Value)</t>
  </si>
  <si>
    <t>TVL growth = ETH/altcoin rallies. Strong leading indicator.</t>
  </si>
  <si>
    <t>TVL grew but ETH price lagged. Value accrual broken.</t>
  </si>
  <si>
    <t>ETH TVL 57% dominance but price at $1,950 (-60%). DECOUPLED.</t>
  </si>
  <si>
    <t>WEAKENED for price</t>
  </si>
  <si>
    <t>Usage ≠ price for ETH</t>
  </si>
  <si>
    <t>Layer 2s cannibalizing ETH revenue. Dencun/EIP-4844 made L2 fees near zero. ETH burns less = less deflationary = weaker price support.</t>
  </si>
  <si>
    <t>4-Year Halving Cycle</t>
  </si>
  <si>
    <t>Perfect correlation: 2012, 2016, 2020 halvings → bull run 12-18mo later.</t>
  </si>
  <si>
    <t>Apr 2024 halving → Oct 2025 ATH ($126K). WORKED AGAIN.</t>
  </si>
  <si>
    <t>Now in post-peak bear phase. Cycle says trough Q3-Q4 2026.</t>
  </si>
  <si>
    <t>DOMINANT DRIVER</t>
  </si>
  <si>
    <t>4-year cycle STILL WORKS</t>
  </si>
  <si>
    <t>Apr 2024 halving → Oct 2025 peak → correction to ~$50-65K trough → next leg up late 2027. Pattern intact.</t>
  </si>
  <si>
    <t>ETF Flows</t>
  </si>
  <si>
    <t>N/A (didn't exist)</t>
  </si>
  <si>
    <t>THE dominant driver. $36B inflows drove BTC from $42K to $126K.</t>
  </si>
  <si>
    <t>NET SELLERS in 2026. $8.5B outflows since Oct 2025. CME OI down 66%.</t>
  </si>
  <si>
    <t>CRITICAL NEW FACTOR</t>
  </si>
  <si>
    <t>ETF flows now LEAD BTC</t>
  </si>
  <si>
    <t>Institutions bought 46K BTC this time last year; now net selling. When they flip back to buying, that's the bottom signal.</t>
  </si>
  <si>
    <t>Geopolitics / War</t>
  </si>
  <si>
    <t>War = gold up, BTC up (2020 thesis). Ukraine = BTC crash.</t>
  </si>
  <si>
    <t>Mixed. Israel-Gaza = no BTC impact. Taiwan threat = BTC sell.</t>
  </si>
  <si>
    <t>Gold at $5K = war premium. BTC NOT benefiting from same flows.</t>
  </si>
  <si>
    <t>NEGATIVE for BTC</t>
  </si>
  <si>
    <t>War = gold, NOT BTC</t>
  </si>
  <si>
    <t>Capital flees to gold/UST in conflict. BTC treated as risk asset, not safe haven. War SIMMERING = gold elevated, BTC compressed.</t>
  </si>
  <si>
    <t>Stablecoin Supply</t>
  </si>
  <si>
    <t>Stablecoin growth = dry powder for BTC. Leading indicator.</t>
  </si>
  <si>
    <t>Stablecoins topped $250B. Massive sideline capital.</t>
  </si>
  <si>
    <t>&gt;$250B in stablecoins. GENIUS Act creates institutional on-ramp.</t>
  </si>
  <si>
    <t>BULLISH LONG-TERM</t>
  </si>
  <si>
    <t>$250B+ waiting to deploy</t>
  </si>
  <si>
    <t>Money is PARKED, not gone. When sentiment flips from fear (13/100) to neutral (40+), stablecoin → BTC rotation triggers violent rally.</t>
  </si>
  <si>
    <t>REGULATORY CATALYST TIMELINE</t>
  </si>
  <si>
    <t>Legislation</t>
  </si>
  <si>
    <t>Status</t>
  </si>
  <si>
    <t>Expected Timeline</t>
  </si>
  <si>
    <t>Impact on BTC</t>
  </si>
  <si>
    <t>Impact on ETH</t>
  </si>
  <si>
    <t>Probability</t>
  </si>
  <si>
    <t>GENIUS Act (Stablecoins)</t>
  </si>
  <si>
    <t>SIGNED INTO LAW (Jul 2025)</t>
  </si>
  <si>
    <t>Rulemaking due Jul 18, 2026</t>
  </si>
  <si>
    <t>Indirect: stablecoins as collateral → more BTC trading infrastructure</t>
  </si>
  <si>
    <t>Moderate: ETH is DeFi backbone for stablecoin settlement</t>
  </si>
  <si>
    <t>100% (law)</t>
  </si>
  <si>
    <t>Already law. Implementation creates institutional on-ramp. $250B+ stablecoin market is now REGULATED.</t>
  </si>
  <si>
    <t>CLARITY Act (Market Structure)</t>
  </si>
  <si>
    <t>Passed House Jul 2025. Senate stalled Jan 2026.</t>
  </si>
  <si>
    <t>Sen. Moreno: April 2026. Citi warns may slip to 2027.</t>
  </si>
  <si>
    <t>HIGH: defines BTC as "digital commodity" under CFTC → regulatory clarity</t>
  </si>
  <si>
    <t>VERY HIGH: resolves SEC vs CFTC jurisdiction for all tokens</t>
  </si>
  <si>
    <t>Polymarket: 72%</t>
  </si>
  <si>
    <t>Coinbase pulled support Jan 2026 over stablecoin yield ban. White House urged compromise by Mar 1. Senate Banking Cmte meeting daily.</t>
  </si>
  <si>
    <t>Parity Act (Tax Clarity)</t>
  </si>
  <si>
    <t>Filed Dec 2025 by Rep. Miller</t>
  </si>
  <si>
    <t>Target: Aug 2026</t>
  </si>
  <si>
    <t>Moderate: de minimis exemption removes friction for BTC spending</t>
  </si>
  <si>
    <t>Same: removes capital gains on small transactions</t>
  </si>
  <si>
    <t>50-60%</t>
  </si>
  <si>
    <t>Prevents every coffee purchase from triggering a taxable event. Removes friction for mainstream adoption.</t>
  </si>
  <si>
    <t>CFTC Crypto Sprint</t>
  </si>
  <si>
    <t>Launched Aug 2025, 12-month timeline</t>
  </si>
  <si>
    <t>Completion by Aug 2026</t>
  </si>
  <si>
    <t>Enables tokenized collateral + spot BTC trading rules</t>
  </si>
  <si>
    <t>Opens regulated derivatives markets</t>
  </si>
  <si>
    <t>CFTC already allowing stablecoins as margin collateral. Spot market framework coming.</t>
  </si>
  <si>
    <t>BTC &amp; ETH CYCLE CONVERGENCE MAP</t>
  </si>
  <si>
    <t>BTC Target</t>
  </si>
  <si>
    <t>ETH Target</t>
  </si>
  <si>
    <t>Halving Cycle Phase</t>
  </si>
  <si>
    <t>Macro Driver</t>
  </si>
  <si>
    <t>Regulatory Catalyst</t>
  </si>
  <si>
    <t>$55K-70K</t>
  </si>
  <si>
    <t>$1,500-2,000</t>
  </si>
  <si>
    <t>Post-peak correction. Bear acceleration.</t>
  </si>
  <si>
    <t>Fed paused. War premium in gold. Risk-off.</t>
  </si>
  <si>
    <t>CLARITY Act debate. Stablecoin yield fight.</t>
  </si>
  <si>
    <t>WAIT. Capitulation not complete.</t>
  </si>
  <si>
    <t>$45K-60K</t>
  </si>
  <si>
    <t>$1,200-1,800</t>
  </si>
  <si>
    <t>ACCUMULATION ZONE. Fear bottoming.</t>
  </si>
  <si>
    <t>Fed may signal cuts. USD weakening.</t>
  </si>
  <si>
    <t>CLARITY Act passes (if Apr timeline). GENIUS rulemaking.</t>
  </si>
  <si>
    <t>BEGIN DCA. BTC $50-60K. ETH $1,200-1,500.</t>
  </si>
  <si>
    <t>$50K-65K</t>
  </si>
  <si>
    <t>$1,500-2,200</t>
  </si>
  <si>
    <t>Halving trough window.</t>
  </si>
  <si>
    <t>SPX Kitchin trough Oct 2026. US cycle bottoms.</t>
  </si>
  <si>
    <t>GENIUS Act rulemaking done. CFTC sprint done.</t>
  </si>
  <si>
    <t>HEAVY ACCUMULATION. Triple convergence.</t>
  </si>
  <si>
    <t>$65K-90K</t>
  </si>
  <si>
    <t>$2,000-3,000</t>
  </si>
  <si>
    <t>Early recovery.</t>
  </si>
  <si>
    <t>Fed cuts begin. USD at lows. Risk-on.</t>
  </si>
  <si>
    <t>Full regulatory framework operational.</t>
  </si>
  <si>
    <t>HOLD. Recovery underway.</t>
  </si>
  <si>
    <t>$90K-150K</t>
  </si>
  <si>
    <t>$3,000-6,000</t>
  </si>
  <si>
    <t>HALVING BULL LEG. Explosive phase.</t>
  </si>
  <si>
    <t>US expansion. Global easing. Dollar weak.</t>
  </si>
  <si>
    <t>Tokenization economy scaling. RWA on ETH.</t>
  </si>
  <si>
    <t>RIDE THE BULL. 2021-repeat window.</t>
  </si>
  <si>
    <t>$120K-200K+</t>
  </si>
  <si>
    <t>$5,000-10,000</t>
  </si>
  <si>
    <t>Potential cycle peak. Euphoria zone.</t>
  </si>
  <si>
    <t>Global expansion. Next halving 2028.</t>
  </si>
  <si>
    <t>Mature regime. Full institutional adoption.</t>
  </si>
  <si>
    <t>PEAK. Begin trimming.</t>
  </si>
  <si>
    <t>WHY CRYPTO CORRECTED DESPITE RISING PMI — THE FULL REASONING:</t>
  </si>
  <si>
    <t>1) The ISM PMI bounce to 52.6 was ARTIFICIAL — driven by tariff front-running. Companies restocked ahead of expected price hikes, not because of genuine demand expansion. This is a HOLLOW expansion that reverses when tariff impact fades.</t>
  </si>
  <si>
    <t>2) ETF institutional outflows ($8.5B since Oct 2025) OVERWHELM macro signals. When 46K BTC/month was flowing IN (2025), macro didn't matter. Now that institutions are NET SELLERS, positive ISM can't counteract the selling pressure.</t>
  </si>
  <si>
    <t>3) BTC broke below its 365-day moving average for the first time since March 2022 — technically a bear market confirmation. This is a structural breakdown, not a macro divergence.</t>
  </si>
  <si>
    <t>4) Gold at $5K while BTC at $67K PROVES BTC is not a safe haven. Capital is choosing gold over BTC for geopolitical protection. BTC is a RISK asset — it follows Nasdaq, not gold.</t>
  </si>
  <si>
    <t>5) ETH has a SEPARATE problem: Layer 2s (Arbitrum, Base, Optimism) cannibalize L1 revenue. EIP-4844 reduced L2 fees 95%, meaning less ETH is burned. ETH TVL is 57% of DeFi but price reflects ZERO value accrual. Usage ≠ Price.</t>
  </si>
  <si>
    <t>6) Regulation creates a FLOOR, not a CEILING. GENIUS Act + CLARITY Act don't change the halving cycle. They COMPRESS the accumulation phase (institutional money enters faster) and EXTEND the peak (more liquidity = longer euphoria). Same cycle, higher amplitude.</t>
  </si>
  <si>
    <t>7) WAR: Gold outperformance = war premium + central bank buying (China, India, Turkey accumulating gold). If geopolitical tensions DE-ESCALATE, gold premium unwinds → capital rotates to risk assets → BTC benefits. But war must ACTUALLY de-escalate, not just stabilize.</t>
  </si>
  <si>
    <t>8) THE CONVERGENCE: Oct 2026 is where halving cycle trough + US Kitchin cycle trough + Fed rate cuts + completed regulatory framework ALL align. This is the point where macro and crypto cycles RECONVERGE after 18 months of divergence.</t>
  </si>
  <si>
    <t>SAME CYCLE OR DIFFERENT? VERDICT:</t>
  </si>
  <si>
    <t>SAME cycle, HIGHER amplitude. CLARITY Act + GENIUS Act + tokenization don't CREATE a new cycle — they AMPLIFY the existing 4-year halving rhythm.</t>
  </si>
  <si>
    <t>Think of it like this: the halving cycle is the TIDE. Regulation, ETFs, and tokenization are the SIZE OF THE BOATS on that tide. Bigger boats = bigger waves, but the tide still goes in and out every 4 years.</t>
  </si>
  <si>
    <t>What HAS changed: the FLOOR is higher (regulatory legitimacy means BTC won't go below $40K again) and the CEILING is higher (institutional adoption means peaks will exceed $150K). But the RHYTHM is unchanged.</t>
  </si>
  <si>
    <t>PINE SCRIPT SETUP — BABA MACRO CYCLE NAVIGATOR</t>
  </si>
  <si>
    <t>Two scripts exported as .pine files. Copy-paste into TradingView Pine Editor.</t>
  </si>
  <si>
    <t>STEP-BY-STEP SETUP</t>
  </si>
  <si>
    <t>1. Open TradingView → search for BABA (NYSE) → switch to DAILY chart</t>
  </si>
  <si>
    <t>2. Open Pine Editor (bottom panel) → New → Paste "BABA_Macro_Cycle_Navigator_Strategy.pine"</t>
  </si>
  <si>
    <t>3. Click "Add to Chart" → This adds the STRATEGY (backtestable) with buy/sell signals</t>
  </si>
  <si>
    <t>4. Create another Pine script → Paste "BABA_Cycle_Oscillator_Indicator.pine"</t>
  </si>
  <si>
    <t>5. Click "Add to Chart" → This adds the OSCILLATOR pane showing composite score</t>
  </si>
  <si>
    <t>6. NOTE: Free plan = 3 indicators max. Strategy counts as 1, Oscillator counts as 1.</t>
  </si>
  <si>
    <t>That leaves 1 slot for volume or other indicator.</t>
  </si>
  <si>
    <t>WHAT THE SCRIPT DOES</t>
  </si>
  <si>
    <t>Module</t>
  </si>
  <si>
    <t>Details</t>
  </si>
  <si>
    <t>Technical (50% weight)</t>
  </si>
  <si>
    <t>EMA 21/55/200 crossovers + RSI + MACD + Bollinger Bands squeeze detection + Volume analysis</t>
  </si>
  <si>
    <t>Kitchin Cycle (25% weight)</t>
  </si>
  <si>
    <t>41-month sine wave anchored to Jun 2023 trough. Auto-detects phase: Trough/Expansion/Peak/Contraction</t>
  </si>
  <si>
    <t>Macro/Liquidity (25% weight)</t>
  </si>
  <si>
    <t>DXY (inverted) + US M2 money supply + Copper/Gold risk-on ratio. Uses 3 request.security() calls.</t>
  </si>
  <si>
    <t>Composite Score (0-100)</t>
  </si>
  <si>
    <t>Weighted blend of all 3 modules → smoothed with 5-bar EMA → triggers BUY above 60, SELL below 35</t>
  </si>
  <si>
    <t>Position Sizing</t>
  </si>
  <si>
    <t>Kelly Criterion: scales position size based on conviction. High score = larger position, low = smaller.</t>
  </si>
  <si>
    <t>Dashboard</t>
  </si>
  <si>
    <t>Real-time table showing all sub-scores, cycle phase, months to trough, conviction level.</t>
  </si>
  <si>
    <t>KEY SETTINGS TO ADJUST</t>
  </si>
  <si>
    <t>Setting</t>
  </si>
  <si>
    <t>When to Change</t>
  </si>
  <si>
    <t>Cycle Trough Anchor Date (default: Jun 2023)</t>
  </si>
  <si>
    <t>Change if your analysis shows a different most recent Kitchin trough. This shifts the entire cycle.</t>
  </si>
  <si>
    <t>Kitchin Cycle Length (default: 41 months)</t>
  </si>
  <si>
    <t>China cycles may be 37-39 months. Try 39 for China-specific timing vs 41 for global.</t>
  </si>
  <si>
    <t>Buy Threshold (default: 60)</t>
  </si>
  <si>
    <t>Lower = more signals (more aggressive). Higher = fewer signals (more conservative). Try 55-65.</t>
  </si>
  <si>
    <t>Sell Threshold (default: 35)</t>
  </si>
  <si>
    <t>Lower = hold longer into downturns. Higher = exit faster. Try 30-40.</t>
  </si>
  <si>
    <t>Weights (50/25/25)</t>
  </si>
  <si>
    <t>Increase cycle weight if you trust the Kitchin timing. Increase macro if DXY/M2 lead BABA.</t>
  </si>
  <si>
    <t>TICKER NOTES FOR FREE PLAN</t>
  </si>
  <si>
    <t>If ECONOMICS:USM2 doesn't load, try: FRED:M2SL or FRED:WM2NS or TVC:M2</t>
  </si>
  <si>
    <t>If COPPER/GOLD doesn't load, try: COMEX:HG1!/TVC:GOLD or just remove that line</t>
  </si>
  <si>
    <t>SCRIPT 1: BABA Macro Cycle Navigator (Strategy)</t>
  </si>
  <si>
    <t>// ============================================================================</t>
  </si>
  <si>
    <t>// BABA MACRO CYCLE NAVIGATOR v2.0</t>
  </si>
  <si>
    <t>// Combines: Technicals + 41-Month Kitchin Cycle + Liquidity/Macro + Entry Signals</t>
  </si>
  <si>
    <t>// Optimized for TradingView Free/Basic (max 3 request.security calls)</t>
  </si>
  <si>
    <t>//@version=6</t>
  </si>
  <si>
    <t xml:space="preserve">strategy("BABA Macro Cycle Navigator", </t>
  </si>
  <si>
    <t xml:space="preserve">     overlay=true, </t>
  </si>
  <si>
    <t xml:space="preserve">     default_qty_type=strategy.percent_of_equity, </t>
  </si>
  <si>
    <t xml:space="preserve">     default_qty_value=10,</t>
  </si>
  <si>
    <t xml:space="preserve">     initial_capital=100000,</t>
  </si>
  <si>
    <t xml:space="preserve">     commission_type=strategy.commission.percent,</t>
  </si>
  <si>
    <t xml:space="preserve">     commission_value=0.1,</t>
  </si>
  <si>
    <t xml:space="preserve">     pyramiding=3,</t>
  </si>
  <si>
    <t xml:space="preserve">     calc_on_every_tick=false)</t>
  </si>
  <si>
    <t>// SECTION 1: USER INPUTS</t>
  </si>
  <si>
    <t>grp_tech        = "══════ TECHNICAL SETTINGS ══════"</t>
  </si>
  <si>
    <t>emaFast         = input.int(21,    "Fast EMA",           minval=5,   maxval=50,  group=grp_tech)</t>
  </si>
  <si>
    <t>emaSlow         = input.int(55,    "Slow EMA",           minval=20,  maxval=200, group=grp_tech)</t>
  </si>
  <si>
    <t>emaLongTrend    = input.int(200,   "Long-Term EMA",      minval=100, maxval=300, group=grp_tech)</t>
  </si>
  <si>
    <t>rsiLen          = input.int(14,    "RSI Length",          minval=5,   maxval=30,  group=grp_tech)</t>
  </si>
  <si>
    <t>rsiOversold     = input.int(30,    "RSI Oversold",        minval=15,  maxval=40,  group=grp_tech)</t>
  </si>
  <si>
    <t>rsiOverbought   = input.int(70,    "RSI Overbought",      minval=60,  maxval=85,  group=grp_tech)</t>
  </si>
  <si>
    <t>macdFast        = input.int(12,    "MACD Fast",           minval=5,   maxval=20,  group=grp_tech)</t>
  </si>
  <si>
    <t>macdSlow        = input.int(26,    "MACD Slow",           minval=15,  maxval=40,  group=grp_tech)</t>
  </si>
  <si>
    <t>macdSig         = input.int(9,     "MACD Signal",         minval=5,   maxval=15,  group=grp_tech)</t>
  </si>
  <si>
    <t>bbLen           = input.int(20,    "Bollinger Length",     minval=10,  maxval=50,  group=grp_tech)</t>
  </si>
  <si>
    <t>bbMult          = input.float(2.0, "Bollinger Multiplier", minval=1.0, maxval=3.0, step=0.1, group=grp_tech)</t>
  </si>
  <si>
    <t>volLen          = input.int(20,    "Volume MA Length",     minval=5,   maxval=50,  group=grp_tech)</t>
  </si>
  <si>
    <t>grp_cycle       = "══════ KITCHIN CYCLE SETTINGS ══════"</t>
  </si>
  <si>
    <t>kitchinMonths   = input.float(41.0,  "Kitchin Cycle Length (months)", minval=30.0, maxval=50.0, step=0.5, group=grp_cycle)</t>
  </si>
  <si>
    <t>cycleAnchorDate = input.time(timestamp("2023-06-01"), "Cycle Trough Anchor Date (last known trough)", group=grp_cycle, tooltip="Set to the most recent known Kitchin cycle trough. Default: Jun 2023 (China PPI trough). Adjust based on your analysis.")</t>
  </si>
  <si>
    <t>cycleWeight     = input.float(25.0,  "Kitchin Cycle Weight in Score (%)", minval=0.0, maxval=50.0, step=5.0, group=grp_cycle)</t>
  </si>
  <si>
    <t>grp_macro       = "══════ MACRO / LIQUIDITY SETTINGS ══════"</t>
  </si>
  <si>
    <t>macroWeight     = input.float(25.0,  "Macro Weight in Score (%)",    minval=0.0, maxval=50.0, step=5.0, group=grp_macro)</t>
  </si>
  <si>
    <t>dxyTicker       = input.string("DXY", "DXY Ticker",                group=grp_macro, tooltip="US Dollar Index. Weak DXY = bullish for BABA")</t>
  </si>
  <si>
    <t>m2Ticker        = input.string("ECONOMICS:USM2",  "Global M2 Proxy Ticker", group=grp_macro, tooltip="US M2 Money Supply as liquidity proxy")</t>
  </si>
  <si>
    <t>copGoldTicker   = input.string("COPPER/GOLD", "Copper/Gold Ratio Ticker", group=grp_macro, tooltip="Rising copper/gold = risk-on = bullish")</t>
  </si>
  <si>
    <t>macroSmaLen     = input.int(63,    "Macro SMA Length (bars)",       minval=20, maxval=200, group=grp_macro, tooltip="~3 months on daily. Used to determine macro trend direction.")</t>
  </si>
  <si>
    <t>grp_signal      = "══════ SIGNAL / STRATEGY SETTINGS ══════"</t>
  </si>
  <si>
    <t>techWeight      = input.float(50.0,  "Technical Weight in Score (%)", minval=0.0, maxval=100.0, step=5.0, group=grp_signal)</t>
  </si>
  <si>
    <t>buyThreshold    = input.float(60.0,  "Buy Signal Threshold",         minval=40.0, maxval=80.0, step=5.0, group=grp_signal)</t>
  </si>
  <si>
    <t>sellThreshold   = input.float(35.0,  "Sell Signal Threshold",        minval=10.0, maxval=50.0, step=5.0, group=grp_signal)</t>
  </si>
  <si>
    <t>useKellyCriterion = input.bool(true, "Use Kelly Criterion Position Sizing", group=grp_signal, tooltip="Adjusts position size based on signal conviction")</t>
  </si>
  <si>
    <t>showDashboard   = input.bool(true,   "Show Dashboard Table",         group=grp_signal)</t>
  </si>
  <si>
    <t>showSignalArrows = input.bool(true,  "Show Buy/Sell Arrows",         group=grp_signal)</t>
  </si>
  <si>
    <t>// SECTION 2: TECHNICAL ANALYSIS MODULE</t>
  </si>
  <si>
    <t>ema21  = ta.ema(close, emaFast)</t>
  </si>
  <si>
    <t>ema55  = ta.ema(close, emaSlow)</t>
  </si>
  <si>
    <t>ema200 = ta.ema(close, emaLongTrend)</t>
  </si>
  <si>
    <t>emaBullish      = ema21 &gt; ema55</t>
  </si>
  <si>
    <t>emaTrendUp      = close &gt; ema200</t>
  </si>
  <si>
    <t>emaCrossUp      = ta.crossover(ema21, ema55)</t>
  </si>
  <si>
    <t>emaCrossDown    = ta.crossunder(ema21, ema55)</t>
  </si>
  <si>
    <t>rsiVal          = ta.rsi(close, rsiLen)</t>
  </si>
  <si>
    <t>rsiSmooth       = rsiVal &lt; rsiOversold ? math.max(70.0, 100.0 - (rsiOversold - rsiVal) * 2.0) : rsiVal &gt; rsiOverbought ? math.min(30.0, (rsiOverbought - rsiVal) * 2.0 + 0.0) : 50.0 - (rsiVal - 50.0) * 2.0</t>
  </si>
  <si>
    <t>rsiSmooth2      = math.max(0.0, math.min(100.0, rsiSmooth))</t>
  </si>
  <si>
    <t>[macdLine, signalLine, histLine] = ta.macd(close, macdFast, macdSlow, macdSig)</t>
  </si>
  <si>
    <t>macdBullish     = macdLine &gt; signalLine</t>
  </si>
  <si>
    <t>macdCrossUp     = ta.crossover(macdLine, signalLine)</t>
  </si>
  <si>
    <t>macdCrossDown   = ta.crossunder(macdLine, signalLine)</t>
  </si>
  <si>
    <t>macdScore       = macdBullish ? (histLine &gt; histLine[1] ? 80.0 : 65.0) : (histLine &lt; histLine[1] ? 20.0 : 35.0)</t>
  </si>
  <si>
    <t>bbBasis         = ta.sma(close, bbLen)</t>
  </si>
  <si>
    <t>bbDev           = ta.stdev(close, bbLen)</t>
  </si>
  <si>
    <t>bbUpper         = bbBasis + bbMult * bbDev</t>
  </si>
  <si>
    <t>bbLower         = bbBasis - bbMult * bbDev</t>
  </si>
  <si>
    <t>bbWidth         = (bbUpper - bbLower) / bbBasis * 100.0</t>
  </si>
  <si>
    <t>bbWidthSMA      = ta.sma(bbWidth, bbLen)</t>
  </si>
  <si>
    <t>bbSqueeze       = bbWidth &lt; bbWidthSMA * 0.75</t>
  </si>
  <si>
    <t>bbPctB          = (close - bbLower) / (bbUpper - bbLower) * 100.0</t>
  </si>
  <si>
    <t>bbScore         = bbPctB &lt; 10.0 ? 85.0 : bbPctB &gt; 90.0 ? 15.0 : 50.0 - (bbPctB - 50.0) * 0.7</t>
  </si>
  <si>
    <t>volSMA          = ta.sma(volume, volLen)</t>
  </si>
  <si>
    <t>volRatio        = volume / volSMA</t>
  </si>
  <si>
    <t>volSurge        = volRatio &gt; 1.5</t>
  </si>
  <si>
    <t>volDry          = volRatio &lt; 0.5</t>
  </si>
  <si>
    <t>volConfirmBull  = close &gt; close[1] and volRatio &gt; 1.2</t>
  </si>
  <si>
    <t>volConfirmBear  = close &lt; close[1] and volRatio &gt; 1.2</t>
  </si>
  <si>
    <t>emaCompScore    = (emaBullish ? 30.0 : 0.0) + (emaTrendUp ? 30.0 : 0.0) + (emaCrossUp ? 40.0 : emaCrossDown ? 0.0 : 20.0)</t>
  </si>
  <si>
    <t>emaCompNorm     = math.min(100.0, emaCompScore)</t>
  </si>
  <si>
    <t>techScore       = (emaCompNorm * 0.30) + (rsiSmooth2 * 0.25) + (macdScore * 0.25) + (bbScore * 0.20)</t>
  </si>
  <si>
    <t>techScore2      = math.max(0.0, math.min(100.0, techScore))</t>
  </si>
  <si>
    <t>// SECTION 3: KITCHIN 41-MONTH CYCLE MODULE</t>
  </si>
  <si>
    <t>daysSinceAnchor = (time - cycleAnchorDate) / (24.0 * 60.0 * 60.0 * 1000.0)</t>
  </si>
  <si>
    <t>cycleLengthDays = kitchinMonths * 30.44</t>
  </si>
  <si>
    <t>cyclePhase      = (daysSinceAnchor % cycleLengthDays) / cycleLengthDays * 2.0 * math.pi</t>
  </si>
  <si>
    <t>cycleSine       = math.sin(cyclePhase - math.pi / 2.0)</t>
  </si>
  <si>
    <t>cyclePosition   = (daysSinceAnchor % cycleLengthDays) / cycleLengthDays</t>
  </si>
  <si>
    <t>cycleScore = cyclePosition &lt; 0.10 ? 60.0 + cyclePosition / 0.10 * 30.0 :</t>
  </si>
  <si>
    <t xml:space="preserve">             cyclePosition &lt; 0.25 ? 90.0 - (cyclePosition - 0.10) / 0.15 * 20.0 :</t>
  </si>
  <si>
    <t xml:space="preserve">             cyclePosition &lt; 0.50 ? 70.0 - (cyclePosition - 0.25) / 0.25 * 30.0 :</t>
  </si>
  <si>
    <t xml:space="preserve">             cyclePosition &lt; 0.75 ? 40.0 - (cyclePosition - 0.50) / 0.25 * 25.0 :</t>
  </si>
  <si>
    <t xml:space="preserve">             15.0 + (cyclePosition - 0.75) / 0.25 * 45.0</t>
  </si>
  <si>
    <t>cyclePhaseLabel = cyclePosition &lt; 0.10 ? "LATE CONTRACTION" :</t>
  </si>
  <si>
    <t xml:space="preserve">                  cyclePosition &lt; 0.25 ? "TROUGH / ACCUMULATE" :</t>
  </si>
  <si>
    <t xml:space="preserve">                  cyclePosition &lt; 0.40 ? "EARLY EXPANSION" :</t>
  </si>
  <si>
    <t xml:space="preserve">                  cyclePosition &lt; 0.55 ? "MID EXPANSION" :</t>
  </si>
  <si>
    <t xml:space="preserve">                  cyclePosition &lt; 0.70 ? "LATE EXPANSION / PEAK" :</t>
  </si>
  <si>
    <t xml:space="preserve">                  cyclePosition &lt; 0.85 ? "EARLY CONTRACTION" :</t>
  </si>
  <si>
    <t xml:space="preserve">                  "LATE CONTRACTION"</t>
  </si>
  <si>
    <t>monthsIntoCycle = cyclePosition * kitchinMonths</t>
  </si>
  <si>
    <t>monthsToTrough  = (1.0 - cyclePosition) * kitchinMonths</t>
  </si>
  <si>
    <t>// SECTION 4: MACRO / LIQUIDITY MODULE</t>
  </si>
  <si>
    <t>dxyClose = request.security(dxyTicker, timeframe.period, close, barmerge.gaps_off, barmerge.lookahead_off)</t>
  </si>
  <si>
    <t>dxySMA   = ta.sma(dxyClose, macroSmaLen)</t>
  </si>
  <si>
    <t>dxyFalling = dxyClose &lt; dxySMA</t>
  </si>
  <si>
    <t>dxyScore = dxyFalling ? 65.0 + math.min(35.0, (dxySMA - dxyClose) / dxySMA * 1000.0) : 35.0 - math.min(35.0, (dxyClose - dxySMA) / dxySMA * 1000.0)</t>
  </si>
  <si>
    <t>dxyScore2 = math.max(0.0, math.min(100.0, dxyScore))</t>
  </si>
  <si>
    <t>m2Close  = request.security(m2Ticker, timeframe.period, close, barmerge.gaps_off, barmerge.lookahead_off)</t>
  </si>
  <si>
    <t>m2SMA    = ta.sma(m2Close, macroSmaLen)</t>
  </si>
  <si>
    <t>m2Expanding = m2Close &gt; m2SMA</t>
  </si>
  <si>
    <t>m2Score  = m2Expanding ? 65.0 + math.min(35.0, (m2Close - m2SMA) / m2SMA * 500.0) : 35.0 - math.min(35.0, (m2SMA - m2Close) / m2SMA * 500.0)</t>
  </si>
  <si>
    <t>m2Score2 = math.max(0.0, math.min(100.0, m2Score))</t>
  </si>
  <si>
    <t>copGoldClose = request.security(copGoldTicker, timeframe.period, close, barmerge.gaps_off, barmerge.lookahead_off)</t>
  </si>
  <si>
    <t>copGoldSMA   = ta.sma(copGoldClose, macroSmaLen)</t>
  </si>
  <si>
    <t>copGoldRising = copGoldClose &gt; copGoldSMA</t>
  </si>
  <si>
    <t>copGoldScore = copGoldRising ? 65.0 + math.min(35.0, (copGoldClose - copGoldSMA) / copGoldSMA * 500.0) : 35.0 - math.min(35.0, (copGoldSMA - copGoldClose) / copGoldSMA * 500.0)</t>
  </si>
  <si>
    <t>copGoldScore2 = math.max(0.0, math.min(100.0, copGoldScore))</t>
  </si>
  <si>
    <t>macroScore = (dxyScore2 * 0.40) + (m2Score2 * 0.35) + (copGoldScore2 * 0.25)</t>
  </si>
  <si>
    <t>macroScore2 = math.max(0.0, math.min(100.0, macroScore))</t>
  </si>
  <si>
    <t>// SECTION 5: COMPOSITE SIGNAL GENERATOR</t>
  </si>
  <si>
    <t>totalWeight   = techWeight + cycleWeight + macroWeight</t>
  </si>
  <si>
    <t>techWNorm     = techWeight / totalWeight * 100.0</t>
  </si>
  <si>
    <t>cycleWNorm    = cycleWeight / totalWeight * 100.0</t>
  </si>
  <si>
    <t>macroWNorm    = macroWeight / totalWeight * 100.0</t>
  </si>
  <si>
    <t xml:space="preserve">compositeScore = (techScore2 * techWNorm / 100.0) + </t>
  </si>
  <si>
    <t xml:space="preserve">                 (cycleScore * cycleWNorm / 100.0) + </t>
  </si>
  <si>
    <t xml:space="preserve">                 (macroScore2 * macroWNorm / 100.0)</t>
  </si>
  <si>
    <t>compositeSmooth = ta.ema(compositeScore, 5)</t>
  </si>
  <si>
    <t>isBuySignal     = compositeSmooth &gt; buyThreshold and compositeSmooth[1] &lt;= buyThreshold</t>
  </si>
  <si>
    <t>isSellSignal    = compositeSmooth &lt; sellThreshold and compositeSmooth[1] &gt;= sellThreshold</t>
  </si>
  <si>
    <t>isStrongBuy     = compositeSmooth &gt; 75.0 and techScore2 &gt; 60.0 and cycleScore &gt; 65.0</t>
  </si>
  <si>
    <t>isStrongSell    = compositeSmooth &lt; 25.0 and techScore2 &lt; 40.0 and cycleScore &lt; 35.0</t>
  </si>
  <si>
    <t>conviction = compositeSmooth &gt; 80.0 ? "VERY STRONG BUY" :</t>
  </si>
  <si>
    <t xml:space="preserve">             compositeSmooth &gt; buyThreshold ? "BUY" :</t>
  </si>
  <si>
    <t xml:space="preserve">             compositeSmooth &gt; 50.0 ? "LEAN BULLISH" :</t>
  </si>
  <si>
    <t xml:space="preserve">             compositeSmooth &gt; sellThreshold ? "NEUTRAL" :</t>
  </si>
  <si>
    <t xml:space="preserve">             compositeSmooth &gt; 20.0 ? "SELL" :</t>
  </si>
  <si>
    <t xml:space="preserve">             "VERY STRONG SELL"</t>
  </si>
  <si>
    <t>estWinRate    = compositeSmooth / 100.0</t>
  </si>
  <si>
    <t>estPayoff     = 2.0</t>
  </si>
  <si>
    <t>kellyFraction = useKellyCriterion ? math.max(0.0, (estWinRate * estPayoff - (1.0 - estWinRate)) / estPayoff) : 0.10</t>
  </si>
  <si>
    <t>kellyPct      = math.min(0.25, kellyFraction) * 100.0</t>
  </si>
  <si>
    <t>// SECTION 6: STRATEGY EXECUTION</t>
  </si>
  <si>
    <t>longCondition   = isBuySignal or (isStrongBuy and strategy.position_size == 0)</t>
  </si>
  <si>
    <t>exitCondition   = isSellSignal or isStrongSell</t>
  </si>
  <si>
    <t>posSize = useKellyCriterion ? kellyPct : 10.0</t>
  </si>
  <si>
    <t>if longCondition</t>
  </si>
  <si>
    <t xml:space="preserve">    strategy.entry("Long", strategy.long, qty=strategy.equity * posSize / 100.0 / close)</t>
  </si>
  <si>
    <t>if exitCondition</t>
  </si>
  <si>
    <t xml:space="preserve">    strategy.close("Long")</t>
  </si>
  <si>
    <t>strategy.exit("Trail Stop", "Long", trail_points=close * 0.15 / syminfo.mintick, trail_offset=close * 0.05 / syminfo.mintick)</t>
  </si>
  <si>
    <t>// SECTION 7: VISUAL OVERLAYS</t>
  </si>
  <si>
    <t>plot(ema21,  "EMA 21",  color=color.new(color.blue, 30),   linewidth=1)</t>
  </si>
  <si>
    <t>plot(ema55,  "EMA 55",  color=color.new(color.orange, 30),  linewidth=1)</t>
  </si>
  <si>
    <t>plot(ema200, "EMA 200", color=color.new(color.gray, 30),    linewidth=2)</t>
  </si>
  <si>
    <t>p_bbU = plot(bbUpper, "BB Upper", color=color.new(color.purple, 70))</t>
  </si>
  <si>
    <t>p_bbL = plot(bbLower, "BB Lower", color=color.new(color.purple, 70))</t>
  </si>
  <si>
    <t>fill(p_bbU, p_bbL, color=bbSqueeze ? color.new(color.yellow, 85) : color.new(color.purple, 92), title="BB Fill")</t>
  </si>
  <si>
    <t>plotshape(showSignalArrows and isBuySignal,   title="Buy Signal",    style=shape.triangleup,   location=location.belowbar, color=color.new(color.green, 0),  size=size.normal, text="BUY")</t>
  </si>
  <si>
    <t>plotshape(showSignalArrows and isStrongBuy,   title="Strong Buy",    style=shape.triangleup,   location=location.belowbar, color=color.new(color.lime, 0),   size=size.large,  text="STRONG\nBUY")</t>
  </si>
  <si>
    <t>plotshape(showSignalArrows and isSellSignal,  title="Sell Signal",   style=shape.triangledown, location=location.abovebar, color=color.new(color.red, 0),    size=size.normal, text="SELL")</t>
  </si>
  <si>
    <t>plotshape(showSignalArrows and isStrongSell,  title="Strong Sell",   style=shape.triangledown, location=location.abovebar, color=color.new(color.maroon, 0), size=size.large,  text="STRONG\nSELL")</t>
  </si>
  <si>
    <t xml:space="preserve">bgcolor(compositeSmooth &gt; 75.0 ? color.new(color.green, 90) : </t>
  </si>
  <si>
    <t xml:space="preserve">        compositeSmooth &gt; buyThreshold ? color.new(color.green, 95) : </t>
  </si>
  <si>
    <t xml:space="preserve">        compositeSmooth &lt; 20.0 ? color.new(color.red, 88) : </t>
  </si>
  <si>
    <t xml:space="preserve">        compositeSmooth &lt; sellThreshold ? color.new(color.red, 93) : </t>
  </si>
  <si>
    <t xml:space="preserve">        color.new(color.gray, 97), </t>
  </si>
  <si>
    <t xml:space="preserve">        title="Signal Background")</t>
  </si>
  <si>
    <t>barcolor(cyclePosition &lt; 0.25 ? color.new(color.green, 30) :</t>
  </si>
  <si>
    <t xml:space="preserve">         cyclePosition &lt; 0.50 ? color.new(color.blue, 50) :</t>
  </si>
  <si>
    <t xml:space="preserve">         cyclePosition &lt; 0.75 ? color.new(color.orange, 30) :</t>
  </si>
  <si>
    <t xml:space="preserve">         color.new(color.red, 40),</t>
  </si>
  <si>
    <t xml:space="preserve">         title="Kitchin Cycle Bar Color")</t>
  </si>
  <si>
    <t>// SECTION 8: DASHBOARD TABLE</t>
  </si>
  <si>
    <t>if showDashboard and barstate.islast</t>
  </si>
  <si>
    <t xml:space="preserve">    var table dash = table.new(position.top_right, 3, 16, </t>
  </si>
  <si>
    <t xml:space="preserve">         bgcolor=color.new(color.black, 10), </t>
  </si>
  <si>
    <t xml:space="preserve">         border_color=color.new(color.gray, 50), </t>
  </si>
  <si>
    <t xml:space="preserve">         border_width=1,</t>
  </si>
  <si>
    <t xml:space="preserve">         frame_color=color.new(color.white, 30),</t>
  </si>
  <si>
    <t xml:space="preserve">         frame_width=2)</t>
  </si>
  <si>
    <t xml:space="preserve">    </t>
  </si>
  <si>
    <t xml:space="preserve">    table.cell(dash, 0, 0, "BABA MACRO CYCLE NAVIGATOR", </t>
  </si>
  <si>
    <t xml:space="preserve">         text_color=color.white, text_size=size.normal, bgcolor=color.new(#FF8C00, 0), text_halign=text.align_center)</t>
  </si>
  <si>
    <t xml:space="preserve">    table.merge_cells(dash, 0, 0, 2, 0)</t>
  </si>
  <si>
    <t xml:space="preserve">    table.cell(dash, 0, 1, "TECHNICALS", text_color=color.white, bgcolor=color.new(color.blue, 20), text_size=size.small)</t>
  </si>
  <si>
    <t xml:space="preserve">    table.cell(dash, 1, 1, "Score",       text_color=color.white, bgcolor=color.new(color.blue, 20), text_size=size.small)</t>
  </si>
  <si>
    <t xml:space="preserve">    table.cell(dash, 2, 1, "Signal",      text_color=color.white, bgcolor=color.new(color.blue, 20), text_size=size.small)</t>
  </si>
  <si>
    <t xml:space="preserve">    table.cell(dash, 0, 2, "EMA (21/55/200)", text_color=color.white, text_size=size.tiny)</t>
  </si>
  <si>
    <t xml:space="preserve">    table.cell(dash, 1, 2, str.tostring(emaCompNorm, "#.0"), text_color=emaCompNorm &gt; 50 ? color.lime : color.red, text_size=size.tiny)</t>
  </si>
  <si>
    <t xml:space="preserve">    table.cell(dash, 2, 2, emaBullish ? (emaTrendUp ? "▲ Bull Trend" : "▲ Bull Cross") : "▼ Bearish", text_color=emaBullish ? color.lime : color.red, text_size=size.tiny)</t>
  </si>
  <si>
    <t xml:space="preserve">    table.cell(dash, 0, 3, "RSI (" + str.tostring(rsiLen) + ")", text_color=color.white, text_size=size.tiny)</t>
  </si>
  <si>
    <t xml:space="preserve">    table.cell(dash, 1, 3, str.tostring(rsiVal, "#.1"), text_color=rsiVal &lt; rsiOversold ? color.lime : rsiVal &gt; rsiOverbought ? color.red : color.white, text_size=size.tiny)</t>
  </si>
  <si>
    <t xml:space="preserve">    table.cell(dash, 2, 3, rsiVal &lt; rsiOversold ? "Oversold" : rsiVal &gt; rsiOverbought ? "Overbought" : "Neutral", text_color=color.white, text_size=size.tiny)</t>
  </si>
  <si>
    <t xml:space="preserve">    table.cell(dash, 0, 4, "MACD", text_color=color.white, text_size=size.tiny)</t>
  </si>
  <si>
    <t xml:space="preserve">    table.cell(dash, 1, 4, str.tostring(macdScore, "#.0"), text_color=macdBullish ? color.lime : color.red, text_size=size.tiny)</t>
  </si>
  <si>
    <t xml:space="preserve">    table.cell(dash, 2, 4, macdBullish ? (histLine &gt; histLine[1] ? "▲ Accelerating" : "▲ Bullish") : (histLine &lt; histLine[1] ? "▼ Accelerating" : "▼ Bearish"), text_color=macdBullish ? color.lime : color.red, text_size=size.tiny)</t>
  </si>
  <si>
    <t xml:space="preserve">    table.cell(dash, 0, 5, "Bollinger", text_color=color.white, text_size=size.tiny)</t>
  </si>
  <si>
    <t xml:space="preserve">    table.cell(dash, 1, 5, str.tostring(bbScore, "#.0"), text_color=bbPctB &lt; 20 ? color.lime : bbPctB &gt; 80 ? color.red : color.white, text_size=size.tiny)</t>
  </si>
  <si>
    <t xml:space="preserve">    table.cell(dash, 2, 5, bbSqueeze ? "SQUEEZE" : (bbPctB &lt; 20 ? "Near Lower" : bbPctB &gt; 80 ? "Near Upper" : "Mid-Band"), text_color=bbSqueeze ? color.yellow : color.white, text_size=size.tiny)</t>
  </si>
  <si>
    <t xml:space="preserve">    techBg = techScore2 &gt; 65 ? color.new(color.green, 70) : techScore2 &lt; 35 ? color.new(color.red, 70) : color.new(color.gray, 70)</t>
  </si>
  <si>
    <t xml:space="preserve">    table.cell(dash, 0, 6, "TECH COMPOSITE", text_color=color.white, bgcolor=techBg, text_size=size.small, text_halign=text.align_left)</t>
  </si>
  <si>
    <t xml:space="preserve">    table.cell(dash, 1, 6, str.tostring(techScore2, "#.1") + " / 100", text_color=color.white, bgcolor=techBg, text_size=size.small)</t>
  </si>
  <si>
    <t xml:space="preserve">    table.cell(dash, 2, 6, "Weight: " + str.tostring(techWNorm, "#.0") + "%", text_color=color.white, bgcolor=techBg, text_size=size.small)</t>
  </si>
  <si>
    <t xml:space="preserve">    table.cell(dash, 0, 7, "KITCHIN CYCLE", text_color=color.white, bgcolor=color.new(#FF8C00, 20), text_size=size.small)</t>
  </si>
  <si>
    <t xml:space="preserve">    table.cell(dash, 1, 7, "Score",           text_color=color.white, bgcolor=color.new(#FF8C00, 20), text_size=size.small)</t>
  </si>
  <si>
    <t xml:space="preserve">    table.cell(dash, 2, 7, "Detail",          text_color=color.white, bgcolor=color.new(#FF8C00, 20), text_size=size.small)</t>
  </si>
  <si>
    <t xml:space="preserve">    table.cell(dash, 0, 8, "Phase", text_color=color.white, text_size=size.tiny)</t>
  </si>
  <si>
    <t xml:space="preserve">    table.cell(dash, 1, 8, cyclePhaseLabel, text_color=cyclePosition &lt; 0.25 ? color.lime : cyclePosition &lt; 0.50 ? color.aqua : cyclePosition &lt; 0.75 ? color.orange : color.red, text_size=size.tiny)</t>
  </si>
  <si>
    <t xml:space="preserve">    table.cell(dash, 2, 8, str.tostring(monthsIntoCycle, "#.1") + " / " + str.tostring(kitchinMonths, "#.0") + " months", text_color=color.white, text_size=size.tiny)</t>
  </si>
  <si>
    <t xml:space="preserve">    table.cell(dash, 0, 9, "Next Trough", text_color=color.white, text_size=size.tiny)</t>
  </si>
  <si>
    <t xml:space="preserve">    table.cell(dash, 1, 9, str.tostring(monthsToTrough, "#.1") + " months", text_color=monthsToTrough &lt; 6 ? color.lime : color.white, text_size=size.tiny)</t>
  </si>
  <si>
    <t xml:space="preserve">    table.cell(dash, 2, 9, cyclePosition &gt; 0.85 ? "ACCUMULATE ZONE" : cyclePosition &lt; 0.25 ? "TROUGH ZONE" : cyclePosition &gt; 0.5 ? "DISTRIBUTION" : "EXPANSION", text_color=color.white, text_size=size.tiny)</t>
  </si>
  <si>
    <t xml:space="preserve">    cycleBg = cycleScore &gt; 65 ? color.new(color.green, 70) : cycleScore &lt; 35 ? color.new(color.red, 70) : color.new(color.gray, 70)</t>
  </si>
  <si>
    <t xml:space="preserve">    table.cell(dash, 0, 10, "CYCLE COMPOSITE", text_color=color.white, bgcolor=cycleBg, text_size=size.small, text_halign=text.align_left)</t>
  </si>
  <si>
    <t xml:space="preserve">    table.cell(dash, 1, 10, str.tostring(cycleScore, "#.1") + " / 100", text_color=color.white, bgcolor=cycleBg, text_size=size.small)</t>
  </si>
  <si>
    <t xml:space="preserve">    table.cell(dash, 2, 10, "Weight: " + str.tostring(cycleWNorm, "#.0") + "%", text_color=color.white, bgcolor=cycleBg, text_size=size.small)</t>
  </si>
  <si>
    <t xml:space="preserve">    table.cell(dash, 0, 11, "MACRO / LIQUIDITY", text_color=color.white, bgcolor=color.new(color.purple, 20), text_size=size.small)</t>
  </si>
  <si>
    <t xml:space="preserve">    table.cell(dash, 1, 11, "Score",               text_color=color.white, bgcolor=color.new(color.purple, 20), text_size=size.small)</t>
  </si>
  <si>
    <t xml:space="preserve">    table.cell(dash, 2, 11, "Signal",               text_color=color.white, bgcolor=color.new(color.purple, 20), text_size=size.small)</t>
  </si>
  <si>
    <t xml:space="preserve">    table.cell(dash, 0, 12, "DXY (inverted)", text_color=color.white, text_size=size.tiny)</t>
  </si>
  <si>
    <t xml:space="preserve">    table.cell(dash, 1, 12, str.tostring(dxyScore2, "#.1"), text_color=dxyFalling ? color.lime : color.red, text_size=size.tiny)</t>
  </si>
  <si>
    <t xml:space="preserve">    table.cell(dash, 2, 12, dxyFalling ? "Dollar Weak = Bullish" : "Dollar Strong = Bearish", text_color=dxyFalling ? color.lime : color.red, text_size=size.tiny)</t>
  </si>
  <si>
    <t xml:space="preserve">    table.cell(dash, 0, 13, "M2 Liquidity", text_color=color.white, text_size=size.tiny)</t>
  </si>
  <si>
    <t xml:space="preserve">    table.cell(dash, 1, 13, str.tostring(m2Score2, "#.1"), text_color=m2Expanding ? color.lime : color.red, text_size=size.tiny)</t>
  </si>
  <si>
    <t xml:space="preserve">    table.cell(dash, 2, 13, m2Expanding ? "Expanding = Bullish" : "Contracting = Bearish", text_color=m2Expanding ? color.lime : color.red, text_size=size.tiny)</t>
  </si>
  <si>
    <t xml:space="preserve">    table.cell(dash, 0, 14, "Copper/Gold", text_color=color.white, text_size=size.tiny)</t>
  </si>
  <si>
    <t xml:space="preserve">    table.cell(dash, 1, 14, str.tostring(copGoldScore2, "#.1"), text_color=copGoldRising ? color.lime : color.red, text_size=size.tiny)</t>
  </si>
  <si>
    <t xml:space="preserve">    table.cell(dash, 2, 14, copGoldRising ? "Risk-On = Bullish" : "Risk-Off = Bearish", text_color=copGoldRising ? color.lime : color.red, text_size=size.tiny)</t>
  </si>
  <si>
    <t xml:space="preserve">    macroBg = macroScore2 &gt; 65 ? color.new(color.green, 70) : macroScore2 &lt; 35 ? color.new(color.red, 70) : color.new(color.gray, 70)</t>
  </si>
  <si>
    <t xml:space="preserve">    table.cell(dash, 0, 15, "MACRO COMPOSITE", text_color=color.white, bgcolor=macroBg, text_size=size.small, text_halign=text.align_left)</t>
  </si>
  <si>
    <t xml:space="preserve">    table.cell(dash, 1, 15, str.tostring(macroScore2, "#.1") + " / 100", text_color=color.white, bgcolor=macroBg, text_size=size.small)</t>
  </si>
  <si>
    <t xml:space="preserve">    table.cell(dash, 2, 15, "Weight: " + str.tostring(macroWNorm, "#.0") + "%", text_color=color.white, bgcolor=macroBg, text_size=size.small)</t>
  </si>
  <si>
    <t xml:space="preserve">    var table summary = table.new(position.bottom_center, 5, 1,</t>
  </si>
  <si>
    <t xml:space="preserve">         bgcolor=color.new(color.black, 5),</t>
  </si>
  <si>
    <t xml:space="preserve">         border_color=color.new(color.gray, 50),</t>
  </si>
  <si>
    <t xml:space="preserve">         frame_color=compositeSmooth &gt; buyThreshold ? color.new(color.green, 0) : compositeSmooth &lt; sellThreshold ? color.new(color.red, 0) : color.new(color.gray, 0),</t>
  </si>
  <si>
    <t xml:space="preserve">         frame_width=3)</t>
  </si>
  <si>
    <t xml:space="preserve">    compBg = compositeSmooth &gt; 75 ? color.new(color.green, 10) : compositeSmooth &gt; buyThreshold ? color.new(color.green, 30) : compositeSmooth &lt; 20 ? color.new(color.red, 10) : compositeSmooth &lt; sellThreshold ? color.new(color.red, 30) : color.new(color.gray, 30)</t>
  </si>
  <si>
    <t xml:space="preserve">    table.cell(summary, 0, 0, "COMPOSITE: " + str.tostring(compositeSmooth, "#.1"), </t>
  </si>
  <si>
    <t xml:space="preserve">         text_color=color.white, bgcolor=compBg, text_size=size.normal)</t>
  </si>
  <si>
    <t xml:space="preserve">    table.cell(summary, 1, 0, conviction, </t>
  </si>
  <si>
    <t xml:space="preserve">         text_color=compositeSmooth &gt; buyThreshold ? color.lime : compositeSmooth &lt; sellThreshold ? color.red : color.white, bgcolor=compBg, text_size=size.normal)</t>
  </si>
  <si>
    <t xml:space="preserve">    table.cell(summary, 2, 0, "Kelly: " + str.tostring(kellyPct, "#.1") + "%", </t>
  </si>
  <si>
    <t xml:space="preserve">         text_color=color.yellow, bgcolor=compBg, text_size=size.normal)</t>
  </si>
  <si>
    <t xml:space="preserve">    table.cell(summary, 3, 0, "Cycle: " + cyclePhaseLabel, </t>
  </si>
  <si>
    <t xml:space="preserve">         text_color=cyclePosition &lt; 0.25 ? color.lime : cyclePosition &gt; 0.65 ? color.orange : color.aqua, bgcolor=compBg, text_size=size.small)</t>
  </si>
  <si>
    <t xml:space="preserve">    table.cell(summary, 4, 0, "Trough in: " + str.tostring(monthsToTrough, "#.1") + "mo", </t>
  </si>
  <si>
    <t xml:space="preserve">         text_color=monthsToTrough &lt; 6 ? color.lime : color.white, bgcolor=compBg, text_size=size.small)</t>
  </si>
  <si>
    <t>// SECTION 9: ALERTS</t>
  </si>
  <si>
    <t>alertcondition(isBuySignal,   title="Buy Signal",         message="BABA Macro Cycle Navigator: BUY signal triggered. Composite score crossed above threshold.")</t>
  </si>
  <si>
    <t>alertcondition(isSellSignal,  title="Sell Signal",         message="BABA Macro Cycle Navigator: SELL signal triggered. Composite score crossed below threshold.")</t>
  </si>
  <si>
    <t>alertcondition(isStrongBuy,   title="Strong Buy Signal",   message="BABA Macro Cycle Navigator: STRONG BUY — All three modules bullish")</t>
  </si>
  <si>
    <t>alertcondition(isStrongSell,  title="Strong Sell Signal",  message="BABA Macro Cycle Navigator: STRONG SELL — All three modules bearish")</t>
  </si>
  <si>
    <t>alertcondition(bbSqueeze and compositeSmooth &gt; 55, title="Squeeze + Bullish", message="BABA: Bollinger Squeeze with bullish composite — potential breakout")</t>
  </si>
  <si>
    <t>SCRIPT 2: BABA Cycle Oscillator (Companion Indicator)</t>
  </si>
  <si>
    <t>// BABA MACRO CYCLE OSCILLATOR v2.0 (Companion Indicator)</t>
  </si>
  <si>
    <t>// Plots composite score, Kitchin sine wave, and macro sub-scores</t>
  </si>
  <si>
    <t>// in a separate pane below the chart</t>
  </si>
  <si>
    <t>indicator("BABA Cycle Oscillator", overlay=false, precision=1)</t>
  </si>
  <si>
    <t>// INPUTS (keep in sync with strategy)</t>
  </si>
  <si>
    <t>grp_tech        = "══════ TECHNICAL ══════"</t>
  </si>
  <si>
    <t>emaFast         = input.int(21,    "Fast EMA",       group=grp_tech)</t>
  </si>
  <si>
    <t>emaSlow         = input.int(55,    "Slow EMA",       group=grp_tech)</t>
  </si>
  <si>
    <t>emaLongTrend    = input.int(200,   "Long EMA",       group=grp_tech)</t>
  </si>
  <si>
    <t>rsiLen          = input.int(14,    "RSI Length",      group=grp_tech)</t>
  </si>
  <si>
    <t>macdFast        = input.int(12,    "MACD Fast",      group=grp_tech)</t>
  </si>
  <si>
    <t>macdSlow        = input.int(26,    "MACD Slow",      group=grp_tech)</t>
  </si>
  <si>
    <t>macdSig         = input.int(9,     "MACD Signal",    group=grp_tech)</t>
  </si>
  <si>
    <t>bbLen           = input.int(20,    "BB Length",       group=grp_tech)</t>
  </si>
  <si>
    <t>grp_cycle       = "══════ KITCHIN CYCLE ══════"</t>
  </si>
  <si>
    <t>kitchinMonths   = input.float(41.0, "Cycle Length (months)", group=grp_cycle)</t>
  </si>
  <si>
    <t>cycleAnchorDate = input.time(timestamp("2023-06-01"), "Trough Anchor Date", group=grp_cycle)</t>
  </si>
  <si>
    <t>cycleWeight     = input.float(25.0, "Cycle Weight %", group=grp_cycle)</t>
  </si>
  <si>
    <t>grp_macro       = "══════ MACRO ══════"</t>
  </si>
  <si>
    <t>macroWeight     = input.float(25.0, "Macro Weight %", group=grp_macro)</t>
  </si>
  <si>
    <t>dxyTicker       = input.string("DXY", "DXY Ticker", group=grp_macro)</t>
  </si>
  <si>
    <t>m2Ticker        = input.string("ECONOMICS:USM2", "M2 Ticker", group=grp_macro)</t>
  </si>
  <si>
    <t>copGoldTicker   = input.string("COPPER/GOLD", "Copper/Gold Ticker", group=grp_macro)</t>
  </si>
  <si>
    <t>macroSmaLen     = input.int(63, "Macro SMA Length", group=grp_macro)</t>
  </si>
  <si>
    <t>grp_signal      = "══════ SIGNALS ══════"</t>
  </si>
  <si>
    <t>techWeight      = input.float(50.0, "Tech Weight %", group=grp_signal)</t>
  </si>
  <si>
    <t>buyThreshold    = input.float(60.0, "Buy Threshold", group=grp_signal)</t>
  </si>
  <si>
    <t>sellThreshold   = input.float(35.0, "Sell Threshold", group=grp_signal)</t>
  </si>
  <si>
    <t>// CALCULATIONS</t>
  </si>
  <si>
    <t>emaBullish = ema21 &gt; ema55</t>
  </si>
  <si>
    <t>emaTrendUp = close &gt; ema200</t>
  </si>
  <si>
    <t>emaScore = (emaBullish ? 30.0 : 0.0) + (emaTrendUp ? 30.0 : 0.0) + 20.0</t>
  </si>
  <si>
    <t>emaScore2 = math.min(100.0, emaScore)</t>
  </si>
  <si>
    <t>rsiVal = ta.rsi(close, rsiLen)</t>
  </si>
  <si>
    <t>rsiSmooth = rsiVal &lt; 30 ? math.max(70.0, 100.0 - (30 - rsiVal) * 2.0) : rsiVal &gt; 70 ? math.min(30.0, (70 - rsiVal) * 2.0) : 50.0 - (rsiVal - 50.0) * 2.0</t>
  </si>
  <si>
    <t>rsiSmooth2 = math.max(0.0, math.min(100.0, rsiSmooth))</t>
  </si>
  <si>
    <t>macdBullish = macdLine &gt; signalLine</t>
  </si>
  <si>
    <t>macdScore = macdBullish ? (histLine &gt; histLine[1] ? 80.0 : 65.0) : (histLine &lt; histLine[1] ? 20.0 : 35.0)</t>
  </si>
  <si>
    <t>bbBasis = ta.sma(close, bbLen)</t>
  </si>
  <si>
    <t>bbDev = ta.stdev(close, bbLen)</t>
  </si>
  <si>
    <t>bbUpper = bbBasis + 2.0 * bbDev</t>
  </si>
  <si>
    <t>bbLower = bbBasis - 2.0 * bbDev</t>
  </si>
  <si>
    <t>bbPctB = (close - bbLower) / (bbUpper - bbLower) * 100.0</t>
  </si>
  <si>
    <t>bbScore = bbPctB &lt; 10.0 ? 85.0 : bbPctB &gt; 90.0 ? 15.0 : 50.0 - (bbPctB - 50.0) * 0.7</t>
  </si>
  <si>
    <t>techScore = (emaScore2 * 0.30) + (rsiSmooth2 * 0.25) + (macdScore * 0.25) + (bbScore * 0.20)</t>
  </si>
  <si>
    <t>techScore2 = math.max(0.0, math.min(100.0, techScore))</t>
  </si>
  <si>
    <t>cyclePosition = (daysSinceAnchor % cycleLengthDays) / cycleLengthDays</t>
  </si>
  <si>
    <t>cycleSine = math.sin(cyclePosition * 2.0 * math.pi - math.pi / 2.0)</t>
  </si>
  <si>
    <t>cycleSineNorm = (cycleSine + 1.0) / 2.0 * 100.0</t>
  </si>
  <si>
    <t>dxySMA = ta.sma(dxyClose, macroSmaLen)</t>
  </si>
  <si>
    <t>dxyScore2 = math.max(0.0, math.min(100.0, dxyFalling ? 65.0 + math.min(35.0, (dxySMA - dxyClose) / dxySMA * 1000.0) : 35.0 - math.min(35.0, (dxyClose - dxySMA) / dxySMA * 1000.0)))</t>
  </si>
  <si>
    <t>m2Close = request.security(m2Ticker, timeframe.period, close, barmerge.gaps_off, barmerge.lookahead_off)</t>
  </si>
  <si>
    <t>m2SMA = ta.sma(m2Close, macroSmaLen)</t>
  </si>
  <si>
    <t>m2Score2 = math.max(0.0, math.min(100.0, m2Expanding ? 65.0 + math.min(35.0, (m2Close - m2SMA) / m2SMA * 500.0) : 35.0 - math.min(35.0, (m2SMA - m2Close) / m2SMA * 500.0)))</t>
  </si>
  <si>
    <t>copGoldSMA = ta.sma(copGoldClose, macroSmaLen)</t>
  </si>
  <si>
    <t>copGoldScore2 = math.max(0.0, math.min(100.0, copGoldRising ? 65.0 + math.min(35.0, (copGoldClose - copGoldSMA) / copGoldSMA * 500.0) : 35.0 - math.min(35.0, (copGoldSMA - copGoldClose) / copGoldSMA * 500.0)))</t>
  </si>
  <si>
    <t>totalWeight = techWeight + cycleWeight + macroWeight</t>
  </si>
  <si>
    <t>compositeScore = (techScore2 * techWeight / totalWeight) + (cycleScore * cycleWeight / totalWeight) + (macroScore2 * macroWeight / totalWeight)</t>
  </si>
  <si>
    <t>// PLOTS</t>
  </si>
  <si>
    <t>hline(buyThreshold,  "Buy Threshold",  color=color.new(color.green, 50), linestyle=hline.style_dashed)</t>
  </si>
  <si>
    <t>hline(sellThreshold, "Sell Threshold", color=color.new(color.red, 50),   linestyle=hline.style_dashed)</t>
  </si>
  <si>
    <t>hline(50,            "Neutral",        color=color.new(color.gray, 70),  linestyle=hline.style_dotted)</t>
  </si>
  <si>
    <t>hline(75,            "Strong Buy",     color=color.new(color.lime, 70),  linestyle=hline.style_dotted)</t>
  </si>
  <si>
    <t>hline(25,            "Strong Sell",    color=color.new(color.maroon, 70),linestyle=hline.style_dotted)</t>
  </si>
  <si>
    <t>compColor = compositeSmooth &gt; buyThreshold ? color.green : compositeSmooth &lt; sellThreshold ? color.red : color.gray</t>
  </si>
  <si>
    <t>plot(compositeSmooth, "Composite Score", color=compColor, linewidth=3, style=plot.style_line)</t>
  </si>
  <si>
    <t>plot(techScore2,   "Tech Score",   color=color.new(color.blue, 40),   linewidth=1)</t>
  </si>
  <si>
    <t>plot(cycleScore,   "Cycle Score",  color=color.new(color.orange, 40), linewidth=1)</t>
  </si>
  <si>
    <t>plot(macroScore2,  "Macro Score",  color=color.new(color.purple, 40), linewidth=1)</t>
  </si>
  <si>
    <t>plot(cycleSineNorm, "Kitchin Sine", color=color.new(color.yellow, 50), linewidth=1, style=plot.style_area)</t>
  </si>
  <si>
    <t>p_comp = plot(compositeSmooth, display=display.none)</t>
  </si>
  <si>
    <t>p_buy  = plot(buyThreshold, display=display.none)</t>
  </si>
  <si>
    <t>p_sell = plot(sellThreshold, display=display.none)</t>
  </si>
  <si>
    <t>fill(p_comp, p_buy, compositeSmooth &gt; buyThreshold ? color.new(color.green, 85) : na, title="Bullish Zone")</t>
  </si>
  <si>
    <t>fill(p_comp, p_sell, compositeSmooth &lt; sellThreshold ? color.new(color.red, 85) : na, title="Bearish Zone")</t>
  </si>
  <si>
    <t>isBuySignal = compositeSmooth &gt; buyThreshold and compositeSmooth[1] &lt;= buyThreshold</t>
  </si>
  <si>
    <t>isSellSignal = compositeSmooth &lt; sellThreshold and compositeSmooth[1] &gt;= sellThreshold</t>
  </si>
  <si>
    <t>plotshape(isBuySignal, "Buy Cross", shape.circle, location.absolute, color.lime, size=size.small)</t>
  </si>
  <si>
    <t>plotshape(isSellSignal, "Sell Cross", shape.circle, location.absolute, color.red, size=size.small)</t>
  </si>
  <si>
    <t>// ALERTS</t>
  </si>
  <si>
    <t>alertcondition(isBuySignal, title="Buy Signal", message="BABA Oscillator: Composite crossed above buy threshold")</t>
  </si>
  <si>
    <t>alertcondition(isSellSignal, title="Sell Signal", message="BABA Oscillator: Composite crossed below sell threshold")</t>
  </si>
  <si>
    <t>How to use:</t>
  </si>
  <si>
    <t>Script 1 → TradingView Pine Editor → New Strategy → paste → Add to Chart</t>
  </si>
  <si>
    <t>Script 2 → Pine Editor → New Indicator → paste → Add to Chart</t>
  </si>
  <si>
    <t>Search BABA on NYSE, switch to Daily chart</t>
  </si>
  <si>
    <t>The strategy shows buy/sell arrows + dashboard on the main chart</t>
  </si>
  <si>
    <t>The oscillator shows the composite score line + sub-scores in a bottom pane</t>
  </si>
  <si>
    <t>If any ticker doesn't load (Free plan limitations), go to Settings and try these alternatives:</t>
  </si>
  <si>
    <t>ECONOMICS:USM2 → try FRED:M2SL or FRED:WM2NS</t>
  </si>
  <si>
    <t>COPPER/GOLD → try COMEX:HG1!/TVC:GOLD</t>
  </si>
  <si>
    <t>DXY → try TVC:DXY or USDOLLAR</t>
  </si>
  <si>
    <t>WILL THE US AI CAPEX SUPERCYCLE BREAK THE KITCHIN CYCLE?</t>
  </si>
  <si>
    <t>The core challenge: US hyperscaler AI capex is $600-690B in 2026 alone — nearly 2% of GDP. Does this structural spend override the normal 41-month inventory cycle?</t>
  </si>
  <si>
    <t>THE SCALE OF THE DISTORTION</t>
  </si>
  <si>
    <t>2026E</t>
  </si>
  <si>
    <t>2027E</t>
  </si>
  <si>
    <t>Implication</t>
  </si>
  <si>
    <t>Big 5 Hyperscaler Capex ($B)</t>
  </si>
  <si>
    <t>$168B</t>
  </si>
  <si>
    <t>$256B</t>
  </si>
  <si>
    <t>$427B</t>
  </si>
  <si>
    <t>$602-690B</t>
  </si>
  <si>
    <t>$637B+</t>
  </si>
  <si>
    <t>Capex DOUBLED in 2 years. Growth: +63%, +73%, +36% YoY.</t>
  </si>
  <si>
    <t>AI Share of Capex</t>
  </si>
  <si>
    <t>~40%</t>
  </si>
  <si>
    <t>~60%</t>
  </si>
  <si>
    <t>~70%</t>
  </si>
  <si>
    <t>~75%</t>
  </si>
  <si>
    <t>~75%+</t>
  </si>
  <si>
    <t>$450B+ of 2026 capex is AI-specific (GPUs, data centers, networking).</t>
  </si>
  <si>
    <t>Capex as % of Operating Cash Flow</t>
  </si>
  <si>
    <t>~55%</t>
  </si>
  <si>
    <t>~90-94%</t>
  </si>
  <si>
    <t>N/A</t>
  </si>
  <si>
    <t>At 94% of OCF, approaching debt-funding threshold.</t>
  </si>
  <si>
    <t>Tech Capex as % of US GDP</t>
  </si>
  <si>
    <t>~1.2%</t>
  </si>
  <si>
    <t>~1.5%</t>
  </si>
  <si>
    <t>~1.9%</t>
  </si>
  <si>
    <t>~2.2%</t>
  </si>
  <si>
    <t>~2.4%</t>
  </si>
  <si>
    <t>EXCEEDS combined scale of largest 20th century capital projects.</t>
  </si>
  <si>
    <t>Non-AI US Investment Growth</t>
  </si>
  <si>
    <t>Flat</t>
  </si>
  <si>
    <t>Flat to neg</t>
  </si>
  <si>
    <t>Unknown</t>
  </si>
  <si>
    <t>US near recession WITHOUT tech spend. Non-AI economy is WEAK.</t>
  </si>
  <si>
    <t>Hyperscaler Debt Raised</t>
  </si>
  <si>
    <t>~$30B</t>
  </si>
  <si>
    <t>~$45B</t>
  </si>
  <si>
    <t>$108B</t>
  </si>
  <si>
    <t>$150B+</t>
  </si>
  <si>
    <t>$200B+</t>
  </si>
  <si>
    <t>3x the 9-year average. SPVs emerging. Off-balance-sheet risk.</t>
  </si>
  <si>
    <t>WHY THE KITCHIN CYCLE STILL WORKS — 6 ARGUMENTS</t>
  </si>
  <si>
    <t>1) Capex is CONCENTRATED, not broad</t>
  </si>
  <si>
    <t>Only 5 firms drive $600B. Other 495 S&amp;P cos are NOT spending. Deutsche Bank: "US near recession without tech spend." Kitchin measures ECONOMY-WIDE inventory — the 95% that isn't AI still cycles. Parallel: 1999 telecom — AT&amp;T/WorldCom spent massively but rest of economy still had Kitchin downturn.</t>
  </si>
  <si>
    <t>2) Capex GROWTH RATE is decelerating</t>
  </si>
  <si>
    <t>Growth slowing: +73% (2025) → +36% (2026) → +25% (H2 2026). Second derivative matters more than level. When capex growth decelerates, semi orders slow → ISM New Orders drop → Kitchin turns. Every boom in history: railroads, telecom, oil — absolute level peaked AFTER growth rate peaked. We're at that inflection.</t>
  </si>
  <si>
    <t>3) PHYSICAL constraints cause crowding out</t>
  </si>
  <si>
    <t>Labor shortages, power grid limits, permitting delays. Data centers pull workers from residential/commercial/infra → non-AI sectors weaken faster → ACCELERATES Kitchin downturn in broader economy. 1970s oil capex: physical constraints caused stagflationary mini-cycles WITHIN the supercycle.</t>
  </si>
  <si>
    <t>4) ROI reckoning = CAPEX CLIFF risk</t>
  </si>
  <si>
    <t>GPU depreciation 20%/yr = $400B annual dep. by 2027 — MORE than combined Big 5 profits. If AI doesn't show ROI by H2 2026, 2027 capex gets cut. Doesn't just fit Kitchin trough — could make it WORSE (deeper). Parallel: 2000-01 dot-com capex cliff → recession DEEPER than cycle predicted.</t>
  </si>
  <si>
    <t>5) Debt-funded capex = RATE SENSITIVITY</t>
  </si>
  <si>
    <t>$108B debt in 2025. BofA: capex = 94% of cash flow — at self-funding LIMIT. Any earnings miss forces more debt (expensive at 4.5%) or capex cuts. Both are CYCLICAL mechanisms. AI supercycle is now LINKED to the rate cycle. Fed tight → funding costs rise → capex moderates → cycle turns.</t>
  </si>
  <si>
    <t>6) AI is a JUGLAR (7-10yr); Kitchin sits INSIDE it</t>
  </si>
  <si>
    <t>THE KEY INSIGHT. AI capex = secular Juglar trend (2023-2030+). But WITHIN that trend, you still get 41-month oscillations. 1950s-60s had a Juglar boom (highways, suburbs, space race) but STILL had 3 Kitchin recessions within it. Kitchin doesn't disappear — it operates at a HIGHER BASELINE. Troughs shallower, peaks higher, RHYTHM persists.</t>
  </si>
  <si>
    <t>WHAT THIS MEANS FOR BABA</t>
  </si>
  <si>
    <t>US AI capex crowding out non-AI</t>
  </si>
  <si>
    <t>▲ BULLISH</t>
  </si>
  <si>
    <t>Capital flows to US AI → neglects China → BABA gets cheaper. When rotation comes, snap-back is VIOLENT.</t>
  </si>
  <si>
    <t>Kitchin trough shallower than normal</t>
  </si>
  <si>
    <t>◄► MIXED</t>
  </si>
  <si>
    <t>Less panic = less forced rotation to China. USD stays stronger longer. Delays outperformance by ~1-2 months.</t>
  </si>
  <si>
    <t>AI capex deceleration in H2 2026</t>
  </si>
  <si>
    <t>▲▲ VERY BULLISH</t>
  </si>
  <si>
    <t>Capex growth 73%→36%→25% → Mag7 lose premium → capital ROTATES to cheap markets. BABA 12x vs MSFT 35x. Alibaba's own AI capex (RMB 380B/3yr) = beneficiary.</t>
  </si>
  <si>
    <t>ROI reckoning + debt risk in US tech</t>
  </si>
  <si>
    <t>US hyperscaler disappoint on monetization → money leaves US tech → BABA = "cheap AI play" with 35% cloud growth. PBOC easing while Fed tight = textbook rotation.</t>
  </si>
  <si>
    <t>BOTTOM LINE: Kitchin Oct 2026 trough STILL APPLIES — but SHALLOWER (~10-15% SPX correction vs typical 15-20%). AI capex creates a floor but does NOT prevent rotation to China. AI concentration AMPLIFIES the rotation — makes US MORE expensive, MORE vulnerable to deceleration, while BABA offers SAME AI exposure at 1/3 the valuation.</t>
  </si>
  <si>
    <t>Turn #</t>
  </si>
  <si>
    <t>Date</t>
  </si>
  <si>
    <t>User Request</t>
  </si>
  <si>
    <t>Action Taken</t>
  </si>
  <si>
    <t>Outcome</t>
  </si>
  <si>
    <t>Add crypto cycle analysis (BTC/ETH) - decoupling from macro, CLARITY/GENIUS Act impact, war implications, gold vs crypto</t>
  </si>
  <si>
    <t>Built comprehensive crypto cycle table on China Market Cycle sheet (rows 96-139)</t>
  </si>
  <si>
    <t>8-factor decoupling table, 4-legislation regulatory timeline, 6-window convergence map with BTC/ETH targets, 8-point reasoning chain explaining why BTC fell despite rising PMI</t>
  </si>
  <si>
    <t>Complete. BTC/ETH analysis shows 4-year halving cycle dominant, macro modulates. Oct 2026 convergence point identified.</t>
  </si>
  <si>
    <t>Create Pine Script for TradingView combining technicals + Kitchin cycle + macro/liquidity for BABA entries</t>
  </si>
  <si>
    <t>Built 2 Pine Scripts: Strategy (420 lines) + Oscillator (152 lines)</t>
  </si>
  <si>
    <t>3-module system: Technical (EMA/RSI/MACD/BB, 50% weight) + Kitchin 41-month sine wave (25%) + Macro (DXY/M2/Copper-Gold, 25%). Kelly Criterion sizing. Optimized for Free plan (3 request.security calls).</t>
  </si>
  <si>
    <t>Scripts provided as text for copy-paste. Setup instructions written to To Do sheet.</t>
  </si>
  <si>
    <t>Given high US AI capex spending, why will the Kitchin cycle phase be accurate this time?</t>
  </si>
  <si>
    <t>Built AI capex vs Kitchin cycle analysis (rows 141-167) on China Market Cycle sheet</t>
  </si>
  <si>
    <t>Capex data table ($168B→$602B, 2023→2026). 6 arguments why Kitchin still works: concentration, deceleration, physical constraints, ROI cliff risk, debt sensitivity, Juglar/Kitchin nesting. BABA implications table.</t>
  </si>
  <si>
    <t>Key insight: AI = Juglar supercycle (7-10yr), Kitchin oscillates WITHIN it. Trough shallower but still real. AI capex concentration AMPLIFIES rotation to China.</t>
  </si>
  <si>
    <t>User asked to continue after cancelled request</t>
  </si>
  <si>
    <t>Completed the AI capex analysis and created Claude Log sheet</t>
  </si>
  <si>
    <t>Added Claude Log as first tab. Logged all turns from this session.</t>
  </si>
  <si>
    <t>All analysis complete. China Market Cycle sheet now spans rows 1-167 covering PPI cycles, crypto, and AI capex distortion.</t>
  </si>
  <si>
    <t>ALIBABA GROUP HOLDING (BABA) — Key Metrics &amp; Return Analysis</t>
  </si>
  <si>
    <t>All figures in RMB Billions unless noted. Fiscal Year ends March 31.</t>
  </si>
  <si>
    <t>Sources: Alibaba Group SEC Filings (20-F), BusinessWire Press Releases, GuruFocus, StockAnalysis</t>
  </si>
  <si>
    <t>MY FAVORITES — Snapshot (TTM / Latest)</t>
  </si>
  <si>
    <t>Value</t>
  </si>
  <si>
    <t>P/E Ratio (TTM)</t>
  </si>
  <si>
    <t>Return on Invested Capital (TTM)</t>
  </si>
  <si>
    <t>Forward P/E (Next Year)</t>
  </si>
  <si>
    <t>Free Cash Flow Yield (TTM)</t>
  </si>
  <si>
    <t>Proj. 3-5 Year EPS Growth Rate</t>
  </si>
  <si>
    <t>Proj. Long Term EPS Growth Rate</t>
  </si>
  <si>
    <t>Dividend Yield (TTM)</t>
  </si>
  <si>
    <t>Shares Outstanding (Diluted Avg, M)</t>
  </si>
  <si>
    <t>Return on Equity (TTM)</t>
  </si>
  <si>
    <t>Price to Earnings Growth Ratio</t>
  </si>
  <si>
    <t>WACC</t>
  </si>
  <si>
    <t>ROIC vs WACC Spread</t>
  </si>
  <si>
    <t>10-Year Avg ROE</t>
  </si>
  <si>
    <t>Industry Median ROE</t>
  </si>
  <si>
    <t>HISTORICAL PROFITABILITY &amp; RETURN METRICS</t>
  </si>
  <si>
    <t>RETURN METRICS</t>
  </si>
  <si>
    <t>TTM</t>
  </si>
  <si>
    <t xml:space="preserve">  Revenue Growth %</t>
  </si>
  <si>
    <t>Income from Operations</t>
  </si>
  <si>
    <t xml:space="preserve">  Operating Margin</t>
  </si>
  <si>
    <t>Net Income (RMB B)</t>
  </si>
  <si>
    <t xml:space="preserve">  Net Margin</t>
  </si>
  <si>
    <t>Total Equity (RMB B)</t>
  </si>
  <si>
    <t>Total Debt (RMB B)</t>
  </si>
  <si>
    <t>Invested Capital (E + D)</t>
  </si>
  <si>
    <t>ROE (Net Inc / Avg Equity)</t>
  </si>
  <si>
    <t>ROIC (NOPAT / Invested Cap)</t>
  </si>
  <si>
    <t>ROA (Net Inc / Total Assets)</t>
  </si>
  <si>
    <t>Adj. EBITA Margin</t>
  </si>
  <si>
    <t>FCF Margin</t>
  </si>
  <si>
    <t>WACC (cost of capital)</t>
  </si>
  <si>
    <t>ROIC – WACC Spread</t>
  </si>
  <si>
    <t>PROJECTED FUTURE ROIC &amp; ROE (from DCF Model)</t>
  </si>
  <si>
    <t xml:space="preserve">  Revenue Growth</t>
  </si>
  <si>
    <t xml:space="preserve">  EBIT Margin</t>
  </si>
  <si>
    <t>NOPAT (RMB B)</t>
  </si>
  <si>
    <t>Est. Invested Capital</t>
  </si>
  <si>
    <t>Projected ROIC</t>
  </si>
  <si>
    <t>Est. Shareholders Equity</t>
  </si>
  <si>
    <t>Projected ROE</t>
  </si>
  <si>
    <t>ANALYSIS &amp; COMMENTARY</t>
  </si>
  <si>
    <t>ROIC Story:</t>
  </si>
  <si>
    <t>BABA's ROIC peaked at 15.3% (FY2016) when the platform model was pure take-rate. Since then, massive investments in cloud, logistics, international, and now AI have diluted returns.</t>
  </si>
  <si>
    <t>FY2022 was the trough (5.7%) due to regulatory crackdown + equity write-downs. Recovery to 11.3% in FY2025 shows margin improvement, but TTM drops to ~7.0% as AI capex ramps.</t>
  </si>
  <si>
    <t>ROE Story:</t>
  </si>
  <si>
    <t>ROE follows a similar trajectory. The 10-year average is 15.5%, but current TTM of ~12.2% is below historical average. The FY2022 negative ROE was due to massive equity investment losses.</t>
  </si>
  <si>
    <t>Key driver: buybacks are reducing equity base (shares down 5.1% in FY2025), which should mechanically improve ROE even if NI stays flat.</t>
  </si>
  <si>
    <t>ROIC vs WACC:</t>
  </si>
  <si>
    <t>CRITICAL: Current ROIC (7.0%) is approximately equal to WACC (7.1%), meaning BABA is barely earning its cost of capital on a TTM basis.</t>
  </si>
  <si>
    <t>This is temporary — driven by the front-loaded AI/Cloud capex cycle (~RMB380B over 3 years). As capex normalizes post-FY2028, ROIC should recover above 10%+.</t>
  </si>
  <si>
    <t>The DCF model projects ROIC crossing back above WACC by FY2027E (8.1%) and reaching 16%+ by FY2035E as the AI infrastructure generates returns.</t>
  </si>
  <si>
    <t>Future Outlook:</t>
  </si>
  <si>
    <t>AI capex is the key variable. If cloud revenue growth accelerates (as suggested by 7 consecutive quarters of triple-digit AI product growth), ROIC recovery will be faster.</t>
  </si>
  <si>
    <t>Margin expansion from FY2026's depressed 7% EBIT margin toward the 17-20% long-term target is the primary driver of projected ROIC improvement.</t>
  </si>
  <si>
    <t>Share buybacks ($11.9B in FY2025) compound the equity return story, potentially lifting ROE to 20%+ by FY2032E.</t>
  </si>
  <si>
    <t>ROE</t>
  </si>
  <si>
    <t>ROIC</t>
  </si>
  <si>
    <t>ROA</t>
  </si>
  <si>
    <t>Operating Income</t>
  </si>
  <si>
    <t>Net Income</t>
  </si>
  <si>
    <t>EBITA Margin</t>
  </si>
  <si>
    <t>Operating Margin</t>
  </si>
  <si>
    <t>Net Margin</t>
  </si>
  <si>
    <t>User asked how to recover the previous conversation.</t>
  </si>
  <si>
    <t>Read and summarized existing Claude Log entries</t>
  </si>
  <si>
    <t>Explained that full conversation history cannot be recovered, but the Claude Log has summaries of all 4 prior turns and all work product remains in the spreadsheet.</t>
  </si>
  <si>
    <t>User informed of session log contents and offered to continue work on any existing sheet.</t>
  </si>
  <si>
    <t>QUALITY SCORECARD — BABA vs S&amp;P 500 / Industry</t>
  </si>
  <si>
    <t>Category</t>
  </si>
  <si>
    <t>BABA</t>
  </si>
  <si>
    <t>S&amp;P 500 Avg</t>
  </si>
  <si>
    <t>Industry Avg</t>
  </si>
  <si>
    <t>Rating</t>
  </si>
  <si>
    <t>Score /10</t>
  </si>
  <si>
    <t>PREDICTABILITY</t>
  </si>
  <si>
    <t>Revenue Growth Consistency (10yr)</t>
  </si>
  <si>
    <t>Mixed — high early, slowing</t>
  </si>
  <si>
    <t>Moderate</t>
  </si>
  <si>
    <t>⬤</t>
  </si>
  <si>
    <t>Earnings Predictability</t>
  </si>
  <si>
    <t>Low — volatile (FY22 loss)</t>
  </si>
  <si>
    <t>High</t>
  </si>
  <si>
    <t>Analyst Estimate Hit Rate</t>
  </si>
  <si>
    <t>~65%</t>
  </si>
  <si>
    <t>PROFITABILITY</t>
  </si>
  <si>
    <t>ROE (TTM)</t>
  </si>
  <si>
    <t>ROIC (TTM)</t>
  </si>
  <si>
    <t>Operating Margin (TTM)</t>
  </si>
  <si>
    <t>GROWTH</t>
  </si>
  <si>
    <t>Proj. 3-5 Year EPS Growth</t>
  </si>
  <si>
    <t>Proj. Long-Term EPS Growth</t>
  </si>
  <si>
    <t>Revenue Growth (TTM)</t>
  </si>
  <si>
    <t>FCF Growth (3yr CAGR)</t>
  </si>
  <si>
    <t>FINANCIAL STRENGTH</t>
  </si>
  <si>
    <t>Debt/Equity</t>
  </si>
  <si>
    <t>Interest Coverage</t>
  </si>
  <si>
    <t>12.5x</t>
  </si>
  <si>
    <t>8x</t>
  </si>
  <si>
    <t>6x</t>
  </si>
  <si>
    <t>Net Cash Position (RMB B)</t>
  </si>
  <si>
    <t>VALUATION</t>
  </si>
  <si>
    <t>Forward P/E</t>
  </si>
  <si>
    <t>PEG Ratio</t>
  </si>
  <si>
    <t>Dividend Yield</t>
  </si>
  <si>
    <t>AGGREGATE SCORES</t>
  </si>
  <si>
    <t>Score</t>
  </si>
  <si>
    <t>🔍  Predictability</t>
  </si>
  <si>
    <t>5.0 / 10</t>
  </si>
  <si>
    <t>⬤ BELOW AVG</t>
  </si>
  <si>
    <t>📊  Profitability</t>
  </si>
  <si>
    <t>6.3 / 10</t>
  </si>
  <si>
    <t>⬤ ABOVE AVG</t>
  </si>
  <si>
    <t>📈  Growth</t>
  </si>
  <si>
    <t>⬤ MIXED</t>
  </si>
  <si>
    <t>🏦  Financial Strength</t>
  </si>
  <si>
    <t>7.8 / 10</t>
  </si>
  <si>
    <t>⬤ STRONG</t>
  </si>
  <si>
    <t>💰  Valuation</t>
  </si>
  <si>
    <t>8.3 / 10</t>
  </si>
  <si>
    <t>⬤ VERY CHEAP</t>
  </si>
  <si>
    <t>⭐  OVERALL COMPOSITE</t>
  </si>
  <si>
    <t>6.5 / 10</t>
  </si>
  <si>
    <t>⬤ BUY ON WEAKNESS</t>
  </si>
  <si>
    <t>User sent screenshots of Oracle stock analysis (Mastercard) and asked for BABA ROIC/ROE tables, projected metrics, and all charts matching that style.</t>
  </si>
  <si>
    <t>Built 5 charts + quality scorecard on BABA Key Metrics sheet</t>
  </si>
  <si>
    <t>Charts: (1) Hist ROE/ROIC/WACC/ROA line, (2) Revenue/OpInc/NI bar, (3) OCF/FCF/NI/CapEx bar, (4) Projected ROIC/ROE/WACC line, (5) Margin trends line. Plus Predictability/Profitability/Growth/Financial Strength/Valuation scorecard with S&amp;P 500 &amp; industry comparisons. Added cash flow data block (rows 90-94).</t>
  </si>
  <si>
    <t>All charts anchored in column N area on BABA Key Metrics sheet. Scorecard in rows 97-133. Aggregate score: 6.5/10 = BUY ON WEAKNESS.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</si>
</sst>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;[Red]\-&quot;$&quot;#,##0"/>
    <numFmt numFmtId="164" formatCode="#,##0.0"/>
    <numFmt numFmtId="165" formatCode="0.0%"/>
    <numFmt numFmtId="166" formatCode="#,##0.0;\(#,##0.0\);\-"/>
    <numFmt numFmtId="167" formatCode="&quot;$&quot;#,##0.00"/>
    <numFmt numFmtId="168" formatCode="0.000"/>
    <numFmt numFmtId="169" formatCode="&quot;$&quot;#,##0"/>
    <numFmt numFmtId="170" formatCode="#,##0.0;\(#,##0.0\)"/>
    <numFmt numFmtId="171" formatCode="0.00\x"/>
  </numFmts>
  <fonts count="4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4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808080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i/>
      <sz val="11"/>
      <color rgb="FF808080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1F4E79"/>
      <name val="Aptos Narrow"/>
      <family val="2"/>
      <scheme val="minor"/>
    </font>
    <font>
      <b/>
      <i/>
      <sz val="11"/>
      <color rgb="FF1F4E79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i/>
      <sz val="10"/>
      <color rgb="FF80808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4"/>
      <color rgb="FF008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2"/>
      <color rgb="FFFFFFFF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8C00"/>
      <name val="Aptos Narrow"/>
      <family val="2"/>
      <scheme val="minor"/>
    </font>
    <font>
      <b/>
      <sz val="16"/>
      <color rgb="FF1B3A5C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i/>
      <sz val="9"/>
      <color rgb="FF999999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1565C0"/>
      <name val="Aptos Narrow"/>
      <family val="2"/>
      <scheme val="minor"/>
    </font>
    <font>
      <sz val="11"/>
      <color rgb="FF1565C0"/>
      <name val="Aptos Narrow"/>
      <family val="2"/>
      <scheme val="minor"/>
    </font>
    <font>
      <b/>
      <sz val="11"/>
      <color rgb="FF2E7D32"/>
      <name val="Aptos Narrow"/>
      <family val="2"/>
      <scheme val="minor"/>
    </font>
    <font>
      <sz val="11"/>
      <color rgb="FF2E7D32"/>
      <name val="Aptos Narrow"/>
      <family val="2"/>
      <scheme val="minor"/>
    </font>
    <font>
      <i/>
      <sz val="11"/>
      <color rgb="FFFF6600"/>
      <name val="Aptos Narrow"/>
      <family val="2"/>
      <scheme val="minor"/>
    </font>
    <font>
      <b/>
      <sz val="11"/>
      <color rgb="FF1B3A5C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1"/>
      <color rgb="FFFFC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7B2D8E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/>
      <top style="medium">
        <color auto="1"/>
      </top>
      <bottom style="thin">
        <color rgb="FFB4C6E7"/>
      </bottom>
      <diagonal/>
    </border>
    <border>
      <left/>
      <right/>
      <top style="thin">
        <color rgb="FFB4C6E7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rgb="FFB4C6E7"/>
      </bottom>
      <diagonal/>
    </border>
    <border>
      <left style="thin">
        <color auto="1"/>
      </left>
      <right/>
      <top style="thin">
        <color rgb="FFB4C6E7"/>
      </top>
      <bottom style="thin">
        <color rgb="FFB4C6E7"/>
      </bottom>
      <diagonal/>
    </border>
    <border>
      <left style="thin">
        <color auto="1"/>
      </left>
      <right/>
      <top style="thin">
        <color rgb="FFB4C6E7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rgb="FFB4C6E7"/>
      </bottom>
      <diagonal/>
    </border>
    <border>
      <left/>
      <right style="thin">
        <color auto="1"/>
      </right>
      <top style="thin">
        <color rgb="FFB4C6E7"/>
      </top>
      <bottom style="thin">
        <color rgb="FFB4C6E7"/>
      </bottom>
      <diagonal/>
    </border>
    <border>
      <left/>
      <right style="thin">
        <color auto="1"/>
      </right>
      <top style="thin">
        <color rgb="FFB4C6E7"/>
      </top>
      <bottom style="medium">
        <color auto="1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/>
    <xf numFmtId="0" fontId="2" fillId="0" borderId="0" xfId="0" applyFont="1"/>
    <xf numFmtId="164" fontId="6" fillId="0" borderId="0" xfId="0" applyNumberFormat="1" applyFont="1"/>
    <xf numFmtId="0" fontId="9" fillId="0" borderId="0" xfId="0" applyFont="1"/>
    <xf numFmtId="0" fontId="10" fillId="0" borderId="0" xfId="0" applyFont="1"/>
    <xf numFmtId="165" fontId="0" fillId="0" borderId="0" xfId="0" applyNumberFormat="1"/>
    <xf numFmtId="166" fontId="6" fillId="0" borderId="0" xfId="0" applyNumberFormat="1" applyFont="1"/>
    <xf numFmtId="0" fontId="2" fillId="4" borderId="0" xfId="0" applyFont="1" applyFill="1"/>
    <xf numFmtId="164" fontId="0" fillId="0" borderId="0" xfId="0" applyNumberFormat="1"/>
    <xf numFmtId="164" fontId="2" fillId="0" borderId="0" xfId="0" applyNumberFormat="1" applyFont="1"/>
    <xf numFmtId="164" fontId="2" fillId="4" borderId="0" xfId="0" applyNumberFormat="1" applyFont="1" applyFill="1"/>
    <xf numFmtId="166" fontId="2" fillId="4" borderId="0" xfId="0" applyNumberFormat="1" applyFont="1" applyFill="1"/>
    <xf numFmtId="0" fontId="11" fillId="0" borderId="0" xfId="0" applyFont="1"/>
    <xf numFmtId="166" fontId="11" fillId="4" borderId="0" xfId="0" applyNumberFormat="1" applyFont="1" applyFill="1"/>
    <xf numFmtId="0" fontId="12" fillId="0" borderId="0" xfId="0" applyFont="1"/>
    <xf numFmtId="3" fontId="6" fillId="0" borderId="0" xfId="0" applyNumberFormat="1" applyFont="1"/>
    <xf numFmtId="0" fontId="2" fillId="5" borderId="0" xfId="0" applyFont="1" applyFill="1"/>
    <xf numFmtId="4" fontId="2" fillId="5" borderId="0" xfId="0" applyNumberFormat="1" applyFont="1" applyFill="1"/>
    <xf numFmtId="0" fontId="13" fillId="0" borderId="0" xfId="0" applyFont="1"/>
    <xf numFmtId="0" fontId="14" fillId="0" borderId="0" xfId="0" applyFont="1"/>
    <xf numFmtId="0" fontId="0" fillId="2" borderId="0" xfId="0" applyFill="1"/>
    <xf numFmtId="165" fontId="11" fillId="6" borderId="0" xfId="0" applyNumberFormat="1" applyFont="1" applyFill="1"/>
    <xf numFmtId="165" fontId="6" fillId="0" borderId="0" xfId="0" applyNumberFormat="1" applyFont="1"/>
    <xf numFmtId="2" fontId="6" fillId="0" borderId="0" xfId="0" applyNumberFormat="1" applyFont="1"/>
    <xf numFmtId="167" fontId="6" fillId="0" borderId="0" xfId="0" applyNumberFormat="1" applyFont="1"/>
    <xf numFmtId="0" fontId="2" fillId="7" borderId="0" xfId="0" applyFont="1" applyFill="1"/>
    <xf numFmtId="0" fontId="2" fillId="7" borderId="0" xfId="0" applyFont="1" applyFill="1" applyAlignment="1">
      <alignment horizontal="center"/>
    </xf>
    <xf numFmtId="166" fontId="0" fillId="0" borderId="0" xfId="0" applyNumberFormat="1"/>
    <xf numFmtId="168" fontId="0" fillId="0" borderId="0" xfId="0" applyNumberFormat="1"/>
    <xf numFmtId="0" fontId="15" fillId="0" borderId="0" xfId="0" applyFont="1"/>
    <xf numFmtId="0" fontId="16" fillId="0" borderId="0" xfId="0" applyFont="1"/>
    <xf numFmtId="0" fontId="16" fillId="4" borderId="0" xfId="0" applyFont="1" applyFill="1"/>
    <xf numFmtId="164" fontId="16" fillId="4" borderId="0" xfId="0" applyNumberFormat="1" applyFont="1" applyFill="1"/>
    <xf numFmtId="0" fontId="16" fillId="7" borderId="0" xfId="0" applyFont="1" applyFill="1"/>
    <xf numFmtId="164" fontId="16" fillId="7" borderId="0" xfId="0" applyNumberFormat="1" applyFont="1" applyFill="1"/>
    <xf numFmtId="4" fontId="16" fillId="0" borderId="0" xfId="0" applyNumberFormat="1" applyFont="1"/>
    <xf numFmtId="0" fontId="17" fillId="6" borderId="0" xfId="0" applyFont="1" applyFill="1"/>
    <xf numFmtId="167" fontId="17" fillId="6" borderId="0" xfId="0" applyNumberFormat="1" applyFont="1" applyFill="1"/>
    <xf numFmtId="167" fontId="2" fillId="0" borderId="0" xfId="0" applyNumberFormat="1" applyFont="1"/>
    <xf numFmtId="165" fontId="16" fillId="4" borderId="0" xfId="0" applyNumberFormat="1" applyFont="1" applyFill="1"/>
    <xf numFmtId="165" fontId="2" fillId="7" borderId="0" xfId="0" applyNumberFormat="1" applyFont="1" applyFill="1" applyAlignment="1">
      <alignment horizontal="center"/>
    </xf>
    <xf numFmtId="165" fontId="2" fillId="7" borderId="0" xfId="0" applyNumberFormat="1" applyFont="1" applyFill="1"/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0" fontId="2" fillId="6" borderId="0" xfId="0" applyFont="1" applyFill="1"/>
    <xf numFmtId="169" fontId="2" fillId="6" borderId="0" xfId="0" applyNumberFormat="1" applyFont="1" applyFill="1" applyAlignment="1">
      <alignment horizontal="center"/>
    </xf>
    <xf numFmtId="17" fontId="0" fillId="0" borderId="0" xfId="0" applyNumberFormat="1"/>
    <xf numFmtId="169" fontId="0" fillId="0" borderId="0" xfId="0" applyNumberFormat="1"/>
    <xf numFmtId="0" fontId="18" fillId="0" borderId="0" xfId="0" applyFont="1"/>
    <xf numFmtId="0" fontId="1" fillId="0" borderId="0" xfId="0" applyFont="1"/>
    <xf numFmtId="17" fontId="1" fillId="0" borderId="0" xfId="0" applyNumberFormat="1" applyFont="1"/>
    <xf numFmtId="0" fontId="19" fillId="0" borderId="0" xfId="0" applyFont="1"/>
    <xf numFmtId="0" fontId="20" fillId="0" borderId="0" xfId="0" applyFont="1"/>
    <xf numFmtId="164" fontId="6" fillId="4" borderId="0" xfId="0" applyNumberFormat="1" applyFont="1" applyFill="1"/>
    <xf numFmtId="165" fontId="20" fillId="0" borderId="0" xfId="0" applyNumberFormat="1" applyFont="1"/>
    <xf numFmtId="165" fontId="19" fillId="0" borderId="0" xfId="0" applyNumberFormat="1" applyFont="1"/>
    <xf numFmtId="9" fontId="0" fillId="0" borderId="0" xfId="0" applyNumberFormat="1"/>
    <xf numFmtId="0" fontId="21" fillId="0" borderId="0" xfId="0" applyFont="1"/>
    <xf numFmtId="0" fontId="22" fillId="0" borderId="0" xfId="0" applyFont="1"/>
    <xf numFmtId="165" fontId="10" fillId="0" borderId="0" xfId="0" applyNumberFormat="1" applyFont="1"/>
    <xf numFmtId="0" fontId="23" fillId="0" borderId="0" xfId="0" applyFont="1"/>
    <xf numFmtId="0" fontId="24" fillId="0" borderId="0" xfId="0" applyFont="1"/>
    <xf numFmtId="0" fontId="25" fillId="2" borderId="0" xfId="0" applyFont="1" applyFill="1"/>
    <xf numFmtId="6" fontId="17" fillId="6" borderId="0" xfId="0" applyNumberFormat="1" applyFont="1" applyFill="1" applyAlignment="1">
      <alignment horizontal="center"/>
    </xf>
    <xf numFmtId="9" fontId="26" fillId="6" borderId="0" xfId="0" applyNumberFormat="1" applyFont="1" applyFill="1" applyAlignment="1">
      <alignment horizontal="center"/>
    </xf>
    <xf numFmtId="6" fontId="2" fillId="0" borderId="0" xfId="0" applyNumberFormat="1" applyFont="1" applyAlignment="1">
      <alignment horizontal="center"/>
    </xf>
    <xf numFmtId="9" fontId="20" fillId="0" borderId="0" xfId="0" applyNumberFormat="1" applyFont="1"/>
    <xf numFmtId="9" fontId="20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5" fillId="8" borderId="0" xfId="0" applyFont="1" applyFill="1"/>
    <xf numFmtId="0" fontId="0" fillId="8" borderId="0" xfId="0" applyFill="1"/>
    <xf numFmtId="0" fontId="26" fillId="4" borderId="0" xfId="0" applyFont="1" applyFill="1"/>
    <xf numFmtId="0" fontId="27" fillId="0" borderId="0" xfId="0" applyFont="1"/>
    <xf numFmtId="0" fontId="28" fillId="2" borderId="0" xfId="0" applyFont="1" applyFill="1"/>
    <xf numFmtId="0" fontId="29" fillId="0" borderId="0" xfId="0" applyFont="1"/>
    <xf numFmtId="0" fontId="30" fillId="0" borderId="0" xfId="0" applyFont="1"/>
    <xf numFmtId="10" fontId="0" fillId="0" borderId="0" xfId="0" applyNumberFormat="1"/>
    <xf numFmtId="0" fontId="20" fillId="4" borderId="0" xfId="0" applyFont="1" applyFill="1"/>
    <xf numFmtId="0" fontId="31" fillId="9" borderId="0" xfId="0" applyFont="1" applyFill="1"/>
    <xf numFmtId="0" fontId="0" fillId="9" borderId="0" xfId="0" applyFill="1"/>
    <xf numFmtId="0" fontId="4" fillId="9" borderId="0" xfId="0" applyFont="1" applyFill="1"/>
    <xf numFmtId="0" fontId="4" fillId="8" borderId="0" xfId="0" applyFont="1" applyFill="1"/>
    <xf numFmtId="0" fontId="31" fillId="10" borderId="0" xfId="0" applyFont="1" applyFill="1"/>
    <xf numFmtId="0" fontId="0" fillId="10" borderId="0" xfId="0" applyFill="1"/>
    <xf numFmtId="0" fontId="32" fillId="0" borderId="0" xfId="0" applyFont="1"/>
    <xf numFmtId="14" fontId="0" fillId="0" borderId="0" xfId="0" applyNumberForma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11" borderId="0" xfId="0" applyFont="1" applyFill="1"/>
    <xf numFmtId="0" fontId="0" fillId="11" borderId="0" xfId="0" applyFill="1"/>
    <xf numFmtId="0" fontId="2" fillId="12" borderId="0" xfId="0" applyFont="1" applyFill="1"/>
    <xf numFmtId="0" fontId="2" fillId="12" borderId="0" xfId="0" applyFont="1" applyFill="1" applyAlignment="1">
      <alignment horizontal="right"/>
    </xf>
    <xf numFmtId="0" fontId="37" fillId="0" borderId="0" xfId="0" applyFont="1"/>
    <xf numFmtId="2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0" fontId="6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2" fillId="13" borderId="0" xfId="0" applyFont="1" applyFill="1"/>
    <xf numFmtId="0" fontId="0" fillId="13" borderId="0" xfId="0" applyFill="1"/>
    <xf numFmtId="0" fontId="2" fillId="14" borderId="0" xfId="0" applyFont="1" applyFill="1" applyAlignment="1">
      <alignment horizontal="center"/>
    </xf>
    <xf numFmtId="49" fontId="2" fillId="0" borderId="0" xfId="0" applyNumberFormat="1" applyFont="1"/>
    <xf numFmtId="49" fontId="0" fillId="0" borderId="0" xfId="0" applyNumberFormat="1"/>
    <xf numFmtId="170" fontId="0" fillId="0" borderId="0" xfId="0" applyNumberFormat="1"/>
    <xf numFmtId="3" fontId="0" fillId="0" borderId="0" xfId="0" applyNumberFormat="1"/>
    <xf numFmtId="3" fontId="2" fillId="0" borderId="0" xfId="0" applyNumberFormat="1" applyFont="1" applyAlignment="1">
      <alignment horizontal="right"/>
    </xf>
    <xf numFmtId="49" fontId="38" fillId="0" borderId="0" xfId="0" applyNumberFormat="1" applyFont="1"/>
    <xf numFmtId="165" fontId="39" fillId="0" borderId="0" xfId="0" applyNumberFormat="1" applyFont="1"/>
    <xf numFmtId="165" fontId="1" fillId="0" borderId="0" xfId="0" applyNumberFormat="1" applyFont="1"/>
    <xf numFmtId="49" fontId="40" fillId="0" borderId="0" xfId="0" applyNumberFormat="1" applyFont="1"/>
    <xf numFmtId="165" fontId="41" fillId="0" borderId="0" xfId="0" applyNumberFormat="1" applyFont="1"/>
    <xf numFmtId="49" fontId="42" fillId="0" borderId="0" xfId="0" applyNumberFormat="1" applyFont="1"/>
    <xf numFmtId="165" fontId="42" fillId="0" borderId="0" xfId="0" applyNumberFormat="1" applyFont="1"/>
    <xf numFmtId="165" fontId="2" fillId="0" borderId="0" xfId="0" applyNumberFormat="1" applyFont="1" applyAlignment="1">
      <alignment horizontal="right"/>
    </xf>
    <xf numFmtId="0" fontId="2" fillId="15" borderId="0" xfId="0" applyFont="1" applyFill="1" applyAlignment="1">
      <alignment horizontal="center"/>
    </xf>
    <xf numFmtId="49" fontId="6" fillId="0" borderId="0" xfId="0" applyNumberFormat="1" applyFont="1"/>
    <xf numFmtId="165" fontId="40" fillId="0" borderId="0" xfId="0" applyNumberFormat="1" applyFont="1" applyAlignment="1">
      <alignment horizontal="right"/>
    </xf>
    <xf numFmtId="165" fontId="38" fillId="0" borderId="0" xfId="0" applyNumberFormat="1" applyFont="1" applyAlignment="1">
      <alignment horizontal="right"/>
    </xf>
    <xf numFmtId="0" fontId="43" fillId="0" borderId="0" xfId="0" applyFont="1"/>
    <xf numFmtId="0" fontId="0" fillId="0" borderId="0" xfId="0" applyAlignment="1">
      <alignment wrapText="1"/>
    </xf>
    <xf numFmtId="49" fontId="25" fillId="2" borderId="0" xfId="0" applyNumberFormat="1" applyFont="1" applyFill="1"/>
    <xf numFmtId="0" fontId="0" fillId="0" borderId="1" xfId="0" applyBorder="1"/>
    <xf numFmtId="0" fontId="1" fillId="0" borderId="1" xfId="0" applyFont="1" applyBorder="1" applyAlignment="1">
      <alignment horizontal="center"/>
    </xf>
    <xf numFmtId="165" fontId="0" fillId="0" borderId="1" xfId="0" applyNumberFormat="1" applyBorder="1"/>
    <xf numFmtId="0" fontId="19" fillId="0" borderId="1" xfId="0" applyFont="1" applyBorder="1" applyAlignment="1">
      <alignment horizontal="center"/>
    </xf>
    <xf numFmtId="171" fontId="0" fillId="0" borderId="1" xfId="0" applyNumberFormat="1" applyBorder="1"/>
    <xf numFmtId="0" fontId="4" fillId="16" borderId="2" xfId="0" applyFont="1" applyFill="1" applyBorder="1" applyAlignment="1">
      <alignment horizontal="center"/>
    </xf>
    <xf numFmtId="0" fontId="0" fillId="0" borderId="3" xfId="0" applyBorder="1"/>
    <xf numFmtId="0" fontId="4" fillId="16" borderId="4" xfId="0" applyFont="1" applyFill="1" applyBorder="1" applyAlignment="1">
      <alignment horizontal="center"/>
    </xf>
    <xf numFmtId="0" fontId="2" fillId="17" borderId="5" xfId="0" applyFont="1" applyFill="1" applyBorder="1"/>
    <xf numFmtId="0" fontId="0" fillId="0" borderId="5" xfId="0" applyBorder="1"/>
    <xf numFmtId="0" fontId="0" fillId="0" borderId="6" xfId="0" applyBorder="1"/>
    <xf numFmtId="0" fontId="4" fillId="16" borderId="7" xfId="0" applyFont="1" applyFill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18" borderId="5" xfId="0" applyFill="1" applyBorder="1"/>
    <xf numFmtId="0" fontId="0" fillId="18" borderId="1" xfId="0" applyFill="1" applyBorder="1"/>
    <xf numFmtId="0" fontId="44" fillId="18" borderId="1" xfId="0" applyFont="1" applyFill="1" applyBorder="1" applyAlignment="1">
      <alignment horizontal="center"/>
    </xf>
    <xf numFmtId="0" fontId="0" fillId="18" borderId="8" xfId="0" applyFill="1" applyBorder="1" applyAlignment="1">
      <alignment horizontal="center"/>
    </xf>
    <xf numFmtId="165" fontId="0" fillId="18" borderId="1" xfId="0" applyNumberFormat="1" applyFill="1" applyBorder="1"/>
    <xf numFmtId="0" fontId="19" fillId="18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0" fillId="0" borderId="10" xfId="0" applyBorder="1"/>
    <xf numFmtId="0" fontId="2" fillId="0" borderId="10" xfId="0" applyFont="1" applyBorder="1" applyAlignment="1">
      <alignment horizontal="center"/>
    </xf>
    <xf numFmtId="0" fontId="0" fillId="2" borderId="11" xfId="0" applyFill="1" applyBorder="1"/>
    <xf numFmtId="0" fontId="4" fillId="2" borderId="11" xfId="0" applyFont="1" applyFill="1" applyBorder="1" applyAlignment="1">
      <alignment horizontal="center"/>
    </xf>
    <xf numFmtId="0" fontId="0" fillId="4" borderId="12" xfId="0" applyFill="1" applyBorder="1"/>
    <xf numFmtId="0" fontId="16" fillId="4" borderId="12" xfId="0" applyFont="1" applyFill="1" applyBorder="1" applyAlignment="1">
      <alignment horizontal="center"/>
    </xf>
    <xf numFmtId="0" fontId="4" fillId="2" borderId="13" xfId="0" applyFont="1" applyFill="1" applyBorder="1"/>
    <xf numFmtId="0" fontId="2" fillId="0" borderId="14" xfId="0" applyFont="1" applyBorder="1"/>
    <xf numFmtId="0" fontId="16" fillId="4" borderId="15" xfId="0" applyFont="1" applyFill="1" applyBorder="1"/>
    <xf numFmtId="0" fontId="4" fillId="2" borderId="16" xfId="0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0" fillId="4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Historical Return Metrics (FY2016-FY2025)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957358766919602E-2"/>
          <c:y val="0.11971675004871282"/>
          <c:w val="0.9238926183161702"/>
          <c:h val="0.764596472513701"/>
        </c:manualLayout>
      </c:layout>
      <c:lineChart>
        <c:grouping val="standard"/>
        <c:varyColors val="0"/>
        <c:ser>
          <c:idx val="0"/>
          <c:order val="0"/>
          <c:tx>
            <c:strRef>
              <c:f>'BABA Key Metrics'!$A$66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'BABA Key Metrics'!$B$65:$K$65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'BABA Key Metrics'!$B$66:$K$66</c:f>
              <c:numCache>
                <c:formatCode>0.0%</c:formatCode>
                <c:ptCount val="10"/>
                <c:pt idx="0">
                  <c:v>0.248</c:v>
                </c:pt>
                <c:pt idx="1">
                  <c:v>0.13500000000000001</c:v>
                </c:pt>
                <c:pt idx="2">
                  <c:v>0.16800000000000001</c:v>
                </c:pt>
                <c:pt idx="3">
                  <c:v>0.193</c:v>
                </c:pt>
                <c:pt idx="4">
                  <c:v>0.249</c:v>
                </c:pt>
                <c:pt idx="5">
                  <c:v>0.214</c:v>
                </c:pt>
                <c:pt idx="6">
                  <c:v>-8.9999999999999993E-3</c:v>
                </c:pt>
                <c:pt idx="7">
                  <c:v>8.1000000000000003E-2</c:v>
                </c:pt>
                <c:pt idx="8">
                  <c:v>8.8999999999999996E-2</c:v>
                </c:pt>
                <c:pt idx="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48-4F10-9B9B-D4BB743CDC4F}"/>
            </c:ext>
          </c:extLst>
        </c:ser>
        <c:ser>
          <c:idx val="1"/>
          <c:order val="1"/>
          <c:tx>
            <c:strRef>
              <c:f>'BABA Key Metrics'!$A$67</c:f>
              <c:strCache>
                <c:ptCount val="1"/>
                <c:pt idx="0">
                  <c:v>ROIC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'BABA Key Metrics'!$B$65:$K$65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'BABA Key Metrics'!$B$67:$K$67</c:f>
              <c:numCache>
                <c:formatCode>0.0%</c:formatCode>
                <c:ptCount val="10"/>
                <c:pt idx="0">
                  <c:v>0.153</c:v>
                </c:pt>
                <c:pt idx="1">
                  <c:v>0.114</c:v>
                </c:pt>
                <c:pt idx="2">
                  <c:v>0.13100000000000001</c:v>
                </c:pt>
                <c:pt idx="3">
                  <c:v>0.108</c:v>
                </c:pt>
                <c:pt idx="4">
                  <c:v>0.11</c:v>
                </c:pt>
                <c:pt idx="5">
                  <c:v>8.6999999999999994E-2</c:v>
                </c:pt>
                <c:pt idx="6">
                  <c:v>5.7000000000000002E-2</c:v>
                </c:pt>
                <c:pt idx="7">
                  <c:v>7.9000000000000001E-2</c:v>
                </c:pt>
                <c:pt idx="8">
                  <c:v>9.0999999999999998E-2</c:v>
                </c:pt>
                <c:pt idx="9">
                  <c:v>0.113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48-4F10-9B9B-D4BB743CDC4F}"/>
            </c:ext>
          </c:extLst>
        </c:ser>
        <c:ser>
          <c:idx val="2"/>
          <c:order val="2"/>
          <c:tx>
            <c:strRef>
              <c:f>'BABA Key Metrics'!$A$68</c:f>
              <c:strCache>
                <c:ptCount val="1"/>
                <c:pt idx="0">
                  <c:v>WACC</c:v>
                </c:pt>
              </c:strCache>
            </c:strRef>
          </c:tx>
          <c:spPr>
            <a:ln w="28575" cap="rnd">
              <a:solidFill>
                <a:srgbClr val="FF6600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'BABA Key Metrics'!$B$65:$K$65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'BABA Key Metrics'!$B$68:$K$68</c:f>
              <c:numCache>
                <c:formatCode>0.0%</c:formatCode>
                <c:ptCount val="10"/>
                <c:pt idx="0">
                  <c:v>7.0999999999999994E-2</c:v>
                </c:pt>
                <c:pt idx="1">
                  <c:v>7.0999999999999994E-2</c:v>
                </c:pt>
                <c:pt idx="2">
                  <c:v>7.0999999999999994E-2</c:v>
                </c:pt>
                <c:pt idx="3">
                  <c:v>7.0999999999999994E-2</c:v>
                </c:pt>
                <c:pt idx="4">
                  <c:v>7.0999999999999994E-2</c:v>
                </c:pt>
                <c:pt idx="5">
                  <c:v>7.0999999999999994E-2</c:v>
                </c:pt>
                <c:pt idx="6">
                  <c:v>7.0999999999999994E-2</c:v>
                </c:pt>
                <c:pt idx="7">
                  <c:v>7.0999999999999994E-2</c:v>
                </c:pt>
                <c:pt idx="8">
                  <c:v>7.0999999999999994E-2</c:v>
                </c:pt>
                <c:pt idx="9">
                  <c:v>7.0999999999999994E-2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48-4F10-9B9B-D4BB743CDC4F}"/>
            </c:ext>
          </c:extLst>
        </c:ser>
        <c:ser>
          <c:idx val="3"/>
          <c:order val="3"/>
          <c:tx>
            <c:strRef>
              <c:f>'BABA Key Metrics'!$A$69</c:f>
              <c:strCache>
                <c:ptCount val="1"/>
                <c:pt idx="0">
                  <c:v>ROA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'BABA Key Metrics'!$B$65:$K$65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'BABA Key Metrics'!$B$69:$K$69</c:f>
              <c:numCache>
                <c:formatCode>0.0%</c:formatCode>
                <c:ptCount val="10"/>
                <c:pt idx="0">
                  <c:v>0.14499999999999999</c:v>
                </c:pt>
                <c:pt idx="1">
                  <c:v>6.8000000000000005E-2</c:v>
                </c:pt>
                <c:pt idx="2">
                  <c:v>7.1999999999999995E-2</c:v>
                </c:pt>
                <c:pt idx="3">
                  <c:v>7.9000000000000001E-2</c:v>
                </c:pt>
                <c:pt idx="4">
                  <c:v>9.2999999999999999E-2</c:v>
                </c:pt>
                <c:pt idx="5">
                  <c:v>7.1999999999999995E-2</c:v>
                </c:pt>
                <c:pt idx="6">
                  <c:v>-3.0000000000000001E-3</c:v>
                </c:pt>
                <c:pt idx="7">
                  <c:v>3.6999999999999998E-2</c:v>
                </c:pt>
                <c:pt idx="8">
                  <c:v>4.2000000000000003E-2</c:v>
                </c:pt>
                <c:pt idx="9">
                  <c:v>7.1999999999999995E-2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48-4F10-9B9B-D4BB743CD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810016"/>
        <c:axId val="1990810496"/>
      </c:lineChart>
      <c:catAx>
        <c:axId val="199081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810496"/>
        <c:crosses val="autoZero"/>
        <c:auto val="1"/>
        <c:lblAlgn val="ctr"/>
        <c:lblOffset val="100"/>
        <c:noMultiLvlLbl val="0"/>
      </c:catAx>
      <c:valAx>
        <c:axId val="199081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81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Financials Trend (RMB Billions)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'BABA Key Metrics'!$A$73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'BABA Key Metrics'!$B$72:$K$72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'BABA Key Metrics'!$B$73:$K$73</c:f>
              <c:numCache>
                <c:formatCode>#,##0</c:formatCode>
                <c:ptCount val="10"/>
                <c:pt idx="0">
                  <c:v>101.1</c:v>
                </c:pt>
                <c:pt idx="1">
                  <c:v>158.30000000000001</c:v>
                </c:pt>
                <c:pt idx="2">
                  <c:v>250.3</c:v>
                </c:pt>
                <c:pt idx="3">
                  <c:v>376.8</c:v>
                </c:pt>
                <c:pt idx="4">
                  <c:v>509.7</c:v>
                </c:pt>
                <c:pt idx="5">
                  <c:v>717.3</c:v>
                </c:pt>
                <c:pt idx="6">
                  <c:v>853.1</c:v>
                </c:pt>
                <c:pt idx="7">
                  <c:v>868.7</c:v>
                </c:pt>
                <c:pt idx="8">
                  <c:v>941.2</c:v>
                </c:pt>
                <c:pt idx="9">
                  <c:v>996.3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4-49A9-A4DA-6CB71EFBAD14}"/>
            </c:ext>
          </c:extLst>
        </c:ser>
        <c:ser>
          <c:idx val="1"/>
          <c:order val="1"/>
          <c:tx>
            <c:strRef>
              <c:f>'BABA Key Metrics'!$A$74</c:f>
              <c:strCache>
                <c:ptCount val="1"/>
                <c:pt idx="0">
                  <c:v>Operating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'BABA Key Metrics'!$B$72:$K$72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'BABA Key Metrics'!$B$74:$K$74</c:f>
              <c:numCache>
                <c:formatCode>#,##0</c:formatCode>
                <c:ptCount val="10"/>
                <c:pt idx="0">
                  <c:v>32.200000000000003</c:v>
                </c:pt>
                <c:pt idx="1">
                  <c:v>43.1</c:v>
                </c:pt>
                <c:pt idx="2">
                  <c:v>63.4</c:v>
                </c:pt>
                <c:pt idx="3">
                  <c:v>71.099999999999994</c:v>
                </c:pt>
                <c:pt idx="4">
                  <c:v>93.9</c:v>
                </c:pt>
                <c:pt idx="5">
                  <c:v>89.7</c:v>
                </c:pt>
                <c:pt idx="6">
                  <c:v>69.599999999999994</c:v>
                </c:pt>
                <c:pt idx="7">
                  <c:v>100.4</c:v>
                </c:pt>
                <c:pt idx="8">
                  <c:v>113.4</c:v>
                </c:pt>
                <c:pt idx="9">
                  <c:v>140.9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4-49A9-A4DA-6CB71EFBAD14}"/>
            </c:ext>
          </c:extLst>
        </c:ser>
        <c:ser>
          <c:idx val="2"/>
          <c:order val="2"/>
          <c:tx>
            <c:strRef>
              <c:f>'BABA Key Metrics'!$A$75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'BABA Key Metrics'!$B$72:$K$72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'BABA Key Metrics'!$B$75:$K$75</c:f>
              <c:numCache>
                <c:formatCode>#,##0</c:formatCode>
                <c:ptCount val="10"/>
                <c:pt idx="0">
                  <c:v>71.3</c:v>
                </c:pt>
                <c:pt idx="1">
                  <c:v>41.2</c:v>
                </c:pt>
                <c:pt idx="2">
                  <c:v>61.4</c:v>
                </c:pt>
                <c:pt idx="3">
                  <c:v>87.6</c:v>
                </c:pt>
                <c:pt idx="4">
                  <c:v>140.4</c:v>
                </c:pt>
                <c:pt idx="5">
                  <c:v>150.30000000000001</c:v>
                </c:pt>
                <c:pt idx="6">
                  <c:v>-7.2</c:v>
                </c:pt>
                <c:pt idx="7">
                  <c:v>72.5</c:v>
                </c:pt>
                <c:pt idx="8">
                  <c:v>79.3</c:v>
                </c:pt>
                <c:pt idx="9">
                  <c:v>129.5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D4-49A9-A4DA-6CB71EFBA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0111008"/>
        <c:axId val="334545168"/>
      </c:barChart>
      <c:catAx>
        <c:axId val="200011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545168"/>
        <c:crosses val="autoZero"/>
        <c:auto val="1"/>
        <c:lblAlgn val="ctr"/>
        <c:lblOffset val="100"/>
        <c:noMultiLvlLbl val="0"/>
      </c:catAx>
      <c:valAx>
        <c:axId val="33454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11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Flow &amp; Income Trends (RMB Billions)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'BABA Key Metrics'!$A$91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'BABA Key Metrics'!$B$90:$K$90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'BABA Key Metrics'!$B$91:$K$91</c:f>
              <c:numCache>
                <c:formatCode>0.0%</c:formatCode>
                <c:ptCount val="10"/>
                <c:pt idx="0">
                  <c:v>54.3</c:v>
                </c:pt>
                <c:pt idx="1">
                  <c:v>80.3</c:v>
                </c:pt>
                <c:pt idx="2">
                  <c:v>122.5</c:v>
                </c:pt>
                <c:pt idx="3">
                  <c:v>148</c:v>
                </c:pt>
                <c:pt idx="4">
                  <c:v>187.8</c:v>
                </c:pt>
                <c:pt idx="5">
                  <c:v>228.5</c:v>
                </c:pt>
                <c:pt idx="6">
                  <c:v>196.2</c:v>
                </c:pt>
                <c:pt idx="7">
                  <c:v>193.1</c:v>
                </c:pt>
                <c:pt idx="8">
                  <c:v>198.5</c:v>
                </c:pt>
                <c:pt idx="9">
                  <c:v>194.3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E-4CF6-829A-2DD34FFC4D75}"/>
            </c:ext>
          </c:extLst>
        </c:ser>
        <c:ser>
          <c:idx val="1"/>
          <c:order val="1"/>
          <c:tx>
            <c:strRef>
              <c:f>'BABA Key Metrics'!$A$92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'BABA Key Metrics'!$B$90:$K$90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'BABA Key Metrics'!$B$92:$K$92</c:f>
              <c:numCache>
                <c:formatCode>0.0%</c:formatCode>
                <c:ptCount val="10"/>
                <c:pt idx="0">
                  <c:v>41.7</c:v>
                </c:pt>
                <c:pt idx="1">
                  <c:v>61.4</c:v>
                </c:pt>
                <c:pt idx="2">
                  <c:v>94.9</c:v>
                </c:pt>
                <c:pt idx="3">
                  <c:v>109.5</c:v>
                </c:pt>
                <c:pt idx="4">
                  <c:v>144.19999999999999</c:v>
                </c:pt>
                <c:pt idx="5">
                  <c:v>177.3</c:v>
                </c:pt>
                <c:pt idx="6">
                  <c:v>136.4</c:v>
                </c:pt>
                <c:pt idx="7">
                  <c:v>146.4</c:v>
                </c:pt>
                <c:pt idx="8">
                  <c:v>156.19999999999999</c:v>
                </c:pt>
                <c:pt idx="9">
                  <c:v>73.900000000000006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EE-4CF6-829A-2DD34FFC4D75}"/>
            </c:ext>
          </c:extLst>
        </c:ser>
        <c:ser>
          <c:idx val="2"/>
          <c:order val="2"/>
          <c:tx>
            <c:strRef>
              <c:f>'BABA Key Metrics'!$A$93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'BABA Key Metrics'!$B$90:$K$90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'BABA Key Metrics'!$B$93:$K$93</c:f>
              <c:numCache>
                <c:formatCode>0.0%</c:formatCode>
                <c:ptCount val="10"/>
                <c:pt idx="0">
                  <c:v>71.3</c:v>
                </c:pt>
                <c:pt idx="1">
                  <c:v>41.2</c:v>
                </c:pt>
                <c:pt idx="2">
                  <c:v>61.4</c:v>
                </c:pt>
                <c:pt idx="3">
                  <c:v>87.6</c:v>
                </c:pt>
                <c:pt idx="4">
                  <c:v>140.4</c:v>
                </c:pt>
                <c:pt idx="5">
                  <c:v>150.30000000000001</c:v>
                </c:pt>
                <c:pt idx="6">
                  <c:v>-7.2</c:v>
                </c:pt>
                <c:pt idx="7">
                  <c:v>72.5</c:v>
                </c:pt>
                <c:pt idx="8">
                  <c:v>79.3</c:v>
                </c:pt>
                <c:pt idx="9">
                  <c:v>129.5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EE-4CF6-829A-2DD34FFC4D75}"/>
            </c:ext>
          </c:extLst>
        </c:ser>
        <c:ser>
          <c:idx val="3"/>
          <c:order val="3"/>
          <c:tx>
            <c:strRef>
              <c:f>'BABA Key Metrics'!$A$94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'BABA Key Metrics'!$B$90:$K$90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'BABA Key Metrics'!$B$94:$K$94</c:f>
              <c:numCache>
                <c:formatCode>0.0%</c:formatCode>
                <c:ptCount val="10"/>
                <c:pt idx="0">
                  <c:v>12.6</c:v>
                </c:pt>
                <c:pt idx="1">
                  <c:v>18.899999999999999</c:v>
                </c:pt>
                <c:pt idx="2">
                  <c:v>27.6</c:v>
                </c:pt>
                <c:pt idx="3">
                  <c:v>38.5</c:v>
                </c:pt>
                <c:pt idx="4">
                  <c:v>43.6</c:v>
                </c:pt>
                <c:pt idx="5">
                  <c:v>51.2</c:v>
                </c:pt>
                <c:pt idx="6">
                  <c:v>59.8</c:v>
                </c:pt>
                <c:pt idx="7">
                  <c:v>46.7</c:v>
                </c:pt>
                <c:pt idx="8">
                  <c:v>42.3</c:v>
                </c:pt>
                <c:pt idx="9">
                  <c:v>120.4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EE-4CF6-829A-2DD34FFC4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1351120"/>
        <c:axId val="771350640"/>
      </c:barChart>
      <c:catAx>
        <c:axId val="77135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350640"/>
        <c:crosses val="autoZero"/>
        <c:auto val="1"/>
        <c:lblAlgn val="ctr"/>
        <c:lblOffset val="100"/>
        <c:noMultiLvlLbl val="0"/>
      </c:catAx>
      <c:valAx>
        <c:axId val="77135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35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ROIC &amp; ROE (FY2026E-FY2035E)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'BABA Key Metrics'!$A$79</c:f>
              <c:strCache>
                <c:ptCount val="1"/>
                <c:pt idx="0">
                  <c:v>Projected ROIC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'BABA Key Metrics'!$B$78:$K$78</c:f>
              <c:strCache>
                <c:ptCount val="10"/>
                <c:pt idx="0">
                  <c:v>FY2026E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  <c:pt idx="5">
                  <c:v>FY2031E</c:v>
                </c:pt>
                <c:pt idx="6">
                  <c:v>FY2032E</c:v>
                </c:pt>
                <c:pt idx="7">
                  <c:v>FY2033E</c:v>
                </c:pt>
                <c:pt idx="8">
                  <c:v>FY2034E</c:v>
                </c:pt>
                <c:pt idx="9">
                  <c:v>FY2035E</c:v>
                </c:pt>
              </c:strCache>
            </c:strRef>
          </c:cat>
          <c:val>
            <c:numRef>
              <c:f>'BABA Key Metrics'!$B$79:$K$79</c:f>
              <c:numCache>
                <c:formatCode>0.0%</c:formatCode>
                <c:ptCount val="10"/>
                <c:pt idx="0">
                  <c:v>5.5399999999999998E-2</c:v>
                </c:pt>
                <c:pt idx="1">
                  <c:v>8.1299999999999997E-2</c:v>
                </c:pt>
                <c:pt idx="2">
                  <c:v>0.107</c:v>
                </c:pt>
                <c:pt idx="3">
                  <c:v>0.12859999999999999</c:v>
                </c:pt>
                <c:pt idx="4">
                  <c:v>0.1411</c:v>
                </c:pt>
                <c:pt idx="5">
                  <c:v>0.1492</c:v>
                </c:pt>
                <c:pt idx="6">
                  <c:v>0.157</c:v>
                </c:pt>
                <c:pt idx="7">
                  <c:v>0.16009999999999999</c:v>
                </c:pt>
                <c:pt idx="8">
                  <c:v>0.16320000000000001</c:v>
                </c:pt>
                <c:pt idx="9">
                  <c:v>0.1623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41-4851-8B3B-72F9E58B7294}"/>
            </c:ext>
          </c:extLst>
        </c:ser>
        <c:ser>
          <c:idx val="1"/>
          <c:order val="1"/>
          <c:tx>
            <c:strRef>
              <c:f>'BABA Key Metrics'!$A$80</c:f>
              <c:strCache>
                <c:ptCount val="1"/>
                <c:pt idx="0">
                  <c:v>Projected ROE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'BABA Key Metrics'!$B$78:$K$78</c:f>
              <c:strCache>
                <c:ptCount val="10"/>
                <c:pt idx="0">
                  <c:v>FY2026E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  <c:pt idx="5">
                  <c:v>FY2031E</c:v>
                </c:pt>
                <c:pt idx="6">
                  <c:v>FY2032E</c:v>
                </c:pt>
                <c:pt idx="7">
                  <c:v>FY2033E</c:v>
                </c:pt>
                <c:pt idx="8">
                  <c:v>FY2034E</c:v>
                </c:pt>
                <c:pt idx="9">
                  <c:v>FY2035E</c:v>
                </c:pt>
              </c:strCache>
            </c:strRef>
          </c:cat>
          <c:val>
            <c:numRef>
              <c:f>'BABA Key Metrics'!$B$80:$K$80</c:f>
              <c:numCache>
                <c:formatCode>0.0%</c:formatCode>
                <c:ptCount val="10"/>
                <c:pt idx="0">
                  <c:v>7.1599999999999997E-2</c:v>
                </c:pt>
                <c:pt idx="1">
                  <c:v>0.1108</c:v>
                </c:pt>
                <c:pt idx="2">
                  <c:v>0.15210000000000001</c:v>
                </c:pt>
                <c:pt idx="3">
                  <c:v>0.1837</c:v>
                </c:pt>
                <c:pt idx="4">
                  <c:v>0.2024</c:v>
                </c:pt>
                <c:pt idx="5">
                  <c:v>0.21490000000000001</c:v>
                </c:pt>
                <c:pt idx="6">
                  <c:v>0.2268</c:v>
                </c:pt>
                <c:pt idx="7">
                  <c:v>0.2319</c:v>
                </c:pt>
                <c:pt idx="8">
                  <c:v>0.23699999999999999</c:v>
                </c:pt>
                <c:pt idx="9">
                  <c:v>0.23599999999999999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41-4851-8B3B-72F9E58B7294}"/>
            </c:ext>
          </c:extLst>
        </c:ser>
        <c:ser>
          <c:idx val="2"/>
          <c:order val="2"/>
          <c:tx>
            <c:strRef>
              <c:f>'BABA Key Metrics'!$A$81</c:f>
              <c:strCache>
                <c:ptCount val="1"/>
                <c:pt idx="0">
                  <c:v>WACC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'BABA Key Metrics'!$B$78:$K$78</c:f>
              <c:strCache>
                <c:ptCount val="10"/>
                <c:pt idx="0">
                  <c:v>FY2026E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  <c:pt idx="5">
                  <c:v>FY2031E</c:v>
                </c:pt>
                <c:pt idx="6">
                  <c:v>FY2032E</c:v>
                </c:pt>
                <c:pt idx="7">
                  <c:v>FY2033E</c:v>
                </c:pt>
                <c:pt idx="8">
                  <c:v>FY2034E</c:v>
                </c:pt>
                <c:pt idx="9">
                  <c:v>FY2035E</c:v>
                </c:pt>
              </c:strCache>
            </c:strRef>
          </c:cat>
          <c:val>
            <c:numRef>
              <c:f>'BABA Key Metrics'!$B$81:$K$81</c:f>
              <c:numCache>
                <c:formatCode>0.0%</c:formatCode>
                <c:ptCount val="10"/>
                <c:pt idx="0">
                  <c:v>7.0999999999999994E-2</c:v>
                </c:pt>
                <c:pt idx="1">
                  <c:v>7.0999999999999994E-2</c:v>
                </c:pt>
                <c:pt idx="2">
                  <c:v>7.0999999999999994E-2</c:v>
                </c:pt>
                <c:pt idx="3">
                  <c:v>7.0999999999999994E-2</c:v>
                </c:pt>
                <c:pt idx="4">
                  <c:v>7.0999999999999994E-2</c:v>
                </c:pt>
                <c:pt idx="5">
                  <c:v>7.0999999999999994E-2</c:v>
                </c:pt>
                <c:pt idx="6">
                  <c:v>7.0999999999999994E-2</c:v>
                </c:pt>
                <c:pt idx="7">
                  <c:v>7.0999999999999994E-2</c:v>
                </c:pt>
                <c:pt idx="8">
                  <c:v>7.0999999999999994E-2</c:v>
                </c:pt>
                <c:pt idx="9">
                  <c:v>7.0999999999999994E-2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41-4851-8B3B-72F9E58B7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587504"/>
        <c:axId val="2061587984"/>
      </c:lineChart>
      <c:catAx>
        <c:axId val="206158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587984"/>
        <c:crosses val="autoZero"/>
        <c:auto val="1"/>
        <c:lblAlgn val="ctr"/>
        <c:lblOffset val="100"/>
        <c:noMultiLvlLbl val="0"/>
      </c:catAx>
      <c:valAx>
        <c:axId val="206158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58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 Trends (FY2016-FY2025)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'BABA Key Metrics'!$A$85</c:f>
              <c:strCache>
                <c:ptCount val="1"/>
                <c:pt idx="0">
                  <c:v>EBITA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'BABA Key Metrics'!$B$84:$K$84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'BABA Key Metrics'!$B$85:$K$85</c:f>
              <c:numCache>
                <c:formatCode>0.0%</c:formatCode>
                <c:ptCount val="10"/>
                <c:pt idx="0">
                  <c:v>0.42</c:v>
                </c:pt>
                <c:pt idx="1">
                  <c:v>0.40699999999999997</c:v>
                </c:pt>
                <c:pt idx="2">
                  <c:v>0.37</c:v>
                </c:pt>
                <c:pt idx="3">
                  <c:v>0.30299999999999999</c:v>
                </c:pt>
                <c:pt idx="4">
                  <c:v>0.26900000000000002</c:v>
                </c:pt>
                <c:pt idx="5">
                  <c:v>0.27400000000000002</c:v>
                </c:pt>
                <c:pt idx="6">
                  <c:v>0.20499999999999999</c:v>
                </c:pt>
                <c:pt idx="7">
                  <c:v>0.188</c:v>
                </c:pt>
                <c:pt idx="8">
                  <c:v>0.17499999999999999</c:v>
                </c:pt>
                <c:pt idx="9">
                  <c:v>0.17399999999999999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29-4440-8DD5-2A2730F788C2}"/>
            </c:ext>
          </c:extLst>
        </c:ser>
        <c:ser>
          <c:idx val="1"/>
          <c:order val="1"/>
          <c:tx>
            <c:strRef>
              <c:f>'BABA Key Metrics'!$A$86</c:f>
              <c:strCache>
                <c:ptCount val="1"/>
                <c:pt idx="0">
                  <c:v>Operating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'BABA Key Metrics'!$B$84:$K$84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'BABA Key Metrics'!$B$86:$K$86</c:f>
              <c:numCache>
                <c:formatCode>0.0%</c:formatCode>
                <c:ptCount val="10"/>
                <c:pt idx="0">
                  <c:v>0.318</c:v>
                </c:pt>
                <c:pt idx="1">
                  <c:v>0.27200000000000002</c:v>
                </c:pt>
                <c:pt idx="2">
                  <c:v>0.253</c:v>
                </c:pt>
                <c:pt idx="3">
                  <c:v>0.189</c:v>
                </c:pt>
                <c:pt idx="4">
                  <c:v>0.184</c:v>
                </c:pt>
                <c:pt idx="5">
                  <c:v>0.125</c:v>
                </c:pt>
                <c:pt idx="6">
                  <c:v>8.2000000000000003E-2</c:v>
                </c:pt>
                <c:pt idx="7">
                  <c:v>0.11600000000000001</c:v>
                </c:pt>
                <c:pt idx="8">
                  <c:v>0.12</c:v>
                </c:pt>
                <c:pt idx="9">
                  <c:v>0.14099999999999999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29-4440-8DD5-2A2730F788C2}"/>
            </c:ext>
          </c:extLst>
        </c:ser>
        <c:ser>
          <c:idx val="2"/>
          <c:order val="2"/>
          <c:tx>
            <c:strRef>
              <c:f>'BABA Key Metrics'!$A$87</c:f>
              <c:strCache>
                <c:ptCount val="1"/>
                <c:pt idx="0">
                  <c:v>FCF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'BABA Key Metrics'!$B$84:$K$84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'BABA Key Metrics'!$B$87:$K$87</c:f>
              <c:numCache>
                <c:formatCode>0.0%</c:formatCode>
                <c:ptCount val="10"/>
                <c:pt idx="0">
                  <c:v>0.41199999999999998</c:v>
                </c:pt>
                <c:pt idx="1">
                  <c:v>0.38800000000000001</c:v>
                </c:pt>
                <c:pt idx="2">
                  <c:v>0.379</c:v>
                </c:pt>
                <c:pt idx="3">
                  <c:v>0.29099999999999998</c:v>
                </c:pt>
                <c:pt idx="4">
                  <c:v>0.28299999999999997</c:v>
                </c:pt>
                <c:pt idx="5">
                  <c:v>0.247</c:v>
                </c:pt>
                <c:pt idx="6">
                  <c:v>0.16</c:v>
                </c:pt>
                <c:pt idx="7">
                  <c:v>0.16900000000000001</c:v>
                </c:pt>
                <c:pt idx="8">
                  <c:v>0.16600000000000001</c:v>
                </c:pt>
                <c:pt idx="9">
                  <c:v>7.3999999999999996E-2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29-4440-8DD5-2A2730F788C2}"/>
            </c:ext>
          </c:extLst>
        </c:ser>
        <c:ser>
          <c:idx val="3"/>
          <c:order val="3"/>
          <c:tx>
            <c:strRef>
              <c:f>'BABA Key Metrics'!$A$88</c:f>
              <c:strCache>
                <c:ptCount val="1"/>
                <c:pt idx="0">
                  <c:v>Net Margin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'BABA Key Metrics'!$B$84:$K$84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'BABA Key Metrics'!$B$88:$K$88</c:f>
              <c:numCache>
                <c:formatCode>0.0%</c:formatCode>
                <c:ptCount val="10"/>
                <c:pt idx="0">
                  <c:v>0.70499999999999996</c:v>
                </c:pt>
                <c:pt idx="1">
                  <c:v>0.26</c:v>
                </c:pt>
                <c:pt idx="2">
                  <c:v>0.245</c:v>
                </c:pt>
                <c:pt idx="3">
                  <c:v>0.23200000000000001</c:v>
                </c:pt>
                <c:pt idx="4">
                  <c:v>0.27500000000000002</c:v>
                </c:pt>
                <c:pt idx="5">
                  <c:v>0.21</c:v>
                </c:pt>
                <c:pt idx="6">
                  <c:v>-8.0000000000000002E-3</c:v>
                </c:pt>
                <c:pt idx="7">
                  <c:v>8.3000000000000004E-2</c:v>
                </c:pt>
                <c:pt idx="8">
                  <c:v>8.4000000000000005E-2</c:v>
                </c:pt>
                <c:pt idx="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29-4440-8DD5-2A2730F78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6024416"/>
        <c:axId val="2055738208"/>
      </c:lineChart>
      <c:catAx>
        <c:axId val="77602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738208"/>
        <c:crosses val="autoZero"/>
        <c:auto val="1"/>
        <c:lblAlgn val="ctr"/>
        <c:lblOffset val="100"/>
        <c:noMultiLvlLbl val="0"/>
      </c:catAx>
      <c:valAx>
        <c:axId val="205573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02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202711</xdr:colOff>
      <xdr:row>2</xdr:row>
      <xdr:rowOff>146538</xdr:rowOff>
    </xdr:from>
    <xdr:to>
      <xdr:col>25</xdr:col>
      <xdr:colOff>510930</xdr:colOff>
      <xdr:row>23</xdr:row>
      <xdr:rowOff>18562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A19919-6DF2-D18A-7316-39AB52DFF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261327</xdr:colOff>
      <xdr:row>23</xdr:row>
      <xdr:rowOff>31261</xdr:rowOff>
    </xdr:from>
    <xdr:to>
      <xdr:col>25</xdr:col>
      <xdr:colOff>569546</xdr:colOff>
      <xdr:row>43</xdr:row>
      <xdr:rowOff>126512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0C529B-F853-68A2-F912-F0A71BC80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661865</xdr:colOff>
      <xdr:row>49</xdr:row>
      <xdr:rowOff>471365</xdr:rowOff>
    </xdr:from>
    <xdr:to>
      <xdr:col>16</xdr:col>
      <xdr:colOff>227623</xdr:colOff>
      <xdr:row>53</xdr:row>
      <xdr:rowOff>241300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422F46E-65F4-10F5-9D97-8008349A4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251558</xdr:colOff>
      <xdr:row>51</xdr:row>
      <xdr:rowOff>150446</xdr:rowOff>
    </xdr:from>
    <xdr:to>
      <xdr:col>15</xdr:col>
      <xdr:colOff>423008</xdr:colOff>
      <xdr:row>56</xdr:row>
      <xdr:rowOff>390769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DB81FEA-E170-B20A-71EF-5808CD811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222250</xdr:colOff>
      <xdr:row>55</xdr:row>
      <xdr:rowOff>246671</xdr:rowOff>
    </xdr:from>
    <xdr:to>
      <xdr:col>15</xdr:col>
      <xdr:colOff>393700</xdr:colOff>
      <xdr:row>61</xdr:row>
      <xdr:rowOff>19538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9EE9FD6-C42A-9F80-E48B-E02A463E0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5628FE-0164-43B3-BCD3-8889F32A5D14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3F0A-C1A0-42DA-9935-6024D1A1C9F9}">
  <dimension ref="A1:F7"/>
  <sheetViews>
    <sheetView topLeftCell="E1" workbookViewId="0"/>
  </sheetViews>
  <sheetFormatPr defaultRowHeight="14.5" x14ac:dyDescent="0.35"/>
  <cols>
    <col min="1" max="1" width="9.54296875" customWidth="1"/>
    <col min="2" max="2" width="15.26953125" customWidth="1"/>
    <col min="3" max="3" width="47.54296875" customWidth="1"/>
    <col min="4" max="4" width="38.1796875" customWidth="1"/>
    <col min="5" max="5" width="57.1796875" customWidth="1"/>
    <col min="6" max="6" width="47.54296875" customWidth="1"/>
  </cols>
  <sheetData>
    <row r="1" spans="1:6" x14ac:dyDescent="0.35">
      <c r="A1" s="2" t="s">
        <v>1050</v>
      </c>
      <c r="B1" s="2" t="s">
        <v>1051</v>
      </c>
      <c r="C1" s="2" t="s">
        <v>1052</v>
      </c>
      <c r="D1" s="2" t="s">
        <v>1053</v>
      </c>
      <c r="E1" s="2" t="s">
        <v>603</v>
      </c>
      <c r="F1" s="2" t="s">
        <v>1054</v>
      </c>
    </row>
    <row r="2" spans="1:6" x14ac:dyDescent="0.35">
      <c r="A2">
        <v>1</v>
      </c>
      <c r="B2" s="91">
        <v>46073</v>
      </c>
      <c r="C2" t="s">
        <v>1055</v>
      </c>
      <c r="D2" t="s">
        <v>1056</v>
      </c>
      <c r="E2" t="s">
        <v>1057</v>
      </c>
      <c r="F2" t="s">
        <v>1058</v>
      </c>
    </row>
    <row r="3" spans="1:6" x14ac:dyDescent="0.35">
      <c r="A3">
        <v>2</v>
      </c>
      <c r="B3" s="91">
        <v>46073</v>
      </c>
      <c r="C3" t="s">
        <v>1059</v>
      </c>
      <c r="D3" t="s">
        <v>1060</v>
      </c>
      <c r="E3" t="s">
        <v>1061</v>
      </c>
      <c r="F3" t="s">
        <v>1062</v>
      </c>
    </row>
    <row r="4" spans="1:6" x14ac:dyDescent="0.35">
      <c r="A4">
        <v>3</v>
      </c>
      <c r="B4" s="91">
        <v>46073</v>
      </c>
      <c r="C4" t="s">
        <v>1063</v>
      </c>
      <c r="D4" t="s">
        <v>1064</v>
      </c>
      <c r="E4" t="s">
        <v>1065</v>
      </c>
      <c r="F4" t="s">
        <v>1066</v>
      </c>
    </row>
    <row r="5" spans="1:6" x14ac:dyDescent="0.35">
      <c r="A5">
        <v>4</v>
      </c>
      <c r="B5" s="91">
        <v>46073</v>
      </c>
      <c r="C5" t="s">
        <v>1067</v>
      </c>
      <c r="D5" t="s">
        <v>1068</v>
      </c>
      <c r="E5" t="s">
        <v>1069</v>
      </c>
      <c r="F5" t="s">
        <v>1070</v>
      </c>
    </row>
    <row r="6" spans="1:6" x14ac:dyDescent="0.35">
      <c r="A6">
        <v>5</v>
      </c>
      <c r="B6" s="91">
        <v>46073</v>
      </c>
      <c r="C6" t="s">
        <v>1139</v>
      </c>
      <c r="D6" t="s">
        <v>1140</v>
      </c>
      <c r="E6" t="s">
        <v>1141</v>
      </c>
      <c r="F6" t="s">
        <v>1142</v>
      </c>
    </row>
    <row r="7" spans="1:6" x14ac:dyDescent="0.35">
      <c r="A7">
        <v>6</v>
      </c>
      <c r="B7" s="91">
        <v>46073</v>
      </c>
      <c r="C7" t="s">
        <v>1199</v>
      </c>
      <c r="D7" t="s">
        <v>1200</v>
      </c>
      <c r="E7" t="s">
        <v>1201</v>
      </c>
      <c r="F7" t="s">
        <v>1202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129A-D974-4B69-AA22-FD26C61EB7E5}">
  <dimension ref="A1:F41"/>
  <sheetViews>
    <sheetView workbookViewId="0">
      <selection activeCell="M15" sqref="M15"/>
    </sheetView>
  </sheetViews>
  <sheetFormatPr defaultRowHeight="14.5" x14ac:dyDescent="0.35"/>
  <cols>
    <col min="1" max="1" width="51.453125" customWidth="1"/>
    <col min="2" max="2" width="15.7265625" customWidth="1"/>
    <col min="3" max="3" width="20.7265625" customWidth="1"/>
    <col min="4" max="4" width="15.26953125" customWidth="1"/>
    <col min="5" max="5" width="20.1796875" bestFit="1" customWidth="1"/>
  </cols>
  <sheetData>
    <row r="1" spans="1:6" ht="21" x14ac:dyDescent="0.5">
      <c r="A1" s="65" t="s">
        <v>209</v>
      </c>
    </row>
    <row r="2" spans="1:6" x14ac:dyDescent="0.35">
      <c r="A2" s="66" t="s">
        <v>210</v>
      </c>
    </row>
    <row r="4" spans="1:6" ht="16" x14ac:dyDescent="0.4">
      <c r="A4" s="67" t="s">
        <v>211</v>
      </c>
      <c r="B4" s="25"/>
      <c r="C4" s="25"/>
      <c r="D4" s="25"/>
      <c r="E4" s="25"/>
      <c r="F4" s="25"/>
    </row>
    <row r="6" spans="1:6" x14ac:dyDescent="0.35">
      <c r="A6" s="30" t="s">
        <v>212</v>
      </c>
      <c r="B6" s="31" t="s">
        <v>213</v>
      </c>
      <c r="C6" s="31" t="s">
        <v>214</v>
      </c>
      <c r="D6" s="30" t="s">
        <v>215</v>
      </c>
    </row>
    <row r="7" spans="1:6" ht="18.5" x14ac:dyDescent="0.45">
      <c r="A7" s="49" t="s">
        <v>216</v>
      </c>
      <c r="B7" s="68">
        <v>1389</v>
      </c>
      <c r="C7" s="69">
        <v>7.52</v>
      </c>
      <c r="D7" t="s">
        <v>217</v>
      </c>
    </row>
    <row r="8" spans="1:6" x14ac:dyDescent="0.35">
      <c r="A8" t="s">
        <v>218</v>
      </c>
      <c r="B8" s="70">
        <v>763</v>
      </c>
      <c r="C8" s="72">
        <v>3.68</v>
      </c>
      <c r="D8" t="s">
        <v>219</v>
      </c>
    </row>
    <row r="9" spans="1:6" x14ac:dyDescent="0.35">
      <c r="A9" t="s">
        <v>220</v>
      </c>
      <c r="B9" s="73" t="s">
        <v>221</v>
      </c>
      <c r="C9" s="74" t="s">
        <v>222</v>
      </c>
      <c r="D9" t="s">
        <v>223</v>
      </c>
    </row>
    <row r="10" spans="1:6" x14ac:dyDescent="0.35">
      <c r="A10" t="s">
        <v>248</v>
      </c>
      <c r="B10" s="70">
        <v>228</v>
      </c>
      <c r="C10" s="72">
        <v>0.4</v>
      </c>
      <c r="D10" t="s">
        <v>224</v>
      </c>
    </row>
    <row r="12" spans="1:6" ht="16" x14ac:dyDescent="0.4">
      <c r="A12" s="75" t="s">
        <v>225</v>
      </c>
      <c r="B12" s="76"/>
      <c r="C12" s="76"/>
      <c r="D12" s="76"/>
      <c r="E12" s="76"/>
      <c r="F12" s="76"/>
    </row>
    <row r="13" spans="1:6" x14ac:dyDescent="0.35">
      <c r="A13" t="s">
        <v>249</v>
      </c>
    </row>
    <row r="14" spans="1:6" x14ac:dyDescent="0.35">
      <c r="A14" t="s">
        <v>250</v>
      </c>
    </row>
    <row r="15" spans="1:6" x14ac:dyDescent="0.35">
      <c r="A15" t="s">
        <v>251</v>
      </c>
    </row>
    <row r="16" spans="1:6" x14ac:dyDescent="0.35">
      <c r="A16" t="s">
        <v>226</v>
      </c>
    </row>
    <row r="17" spans="1:6" x14ac:dyDescent="0.35">
      <c r="A17" t="s">
        <v>227</v>
      </c>
    </row>
    <row r="18" spans="1:6" x14ac:dyDescent="0.35">
      <c r="A18" t="s">
        <v>228</v>
      </c>
    </row>
    <row r="19" spans="1:6" x14ac:dyDescent="0.35">
      <c r="A19" t="s">
        <v>252</v>
      </c>
    </row>
    <row r="22" spans="1:6" ht="16" x14ac:dyDescent="0.4">
      <c r="A22" s="67" t="s">
        <v>229</v>
      </c>
      <c r="B22" s="25"/>
      <c r="C22" s="25"/>
      <c r="D22" s="25"/>
      <c r="E22" s="25"/>
      <c r="F22" s="25"/>
    </row>
    <row r="24" spans="1:6" x14ac:dyDescent="0.35">
      <c r="A24" s="30" t="s">
        <v>230</v>
      </c>
      <c r="B24" s="31" t="s">
        <v>116</v>
      </c>
      <c r="C24" s="30" t="s">
        <v>231</v>
      </c>
      <c r="D24" s="30" t="s">
        <v>232</v>
      </c>
      <c r="E24" s="30" t="s">
        <v>118</v>
      </c>
    </row>
    <row r="25" spans="1:6" x14ac:dyDescent="0.35">
      <c r="A25" t="s">
        <v>119</v>
      </c>
      <c r="B25" s="47" t="s">
        <v>123</v>
      </c>
      <c r="C25" t="s">
        <v>233</v>
      </c>
      <c r="D25" t="s">
        <v>234</v>
      </c>
      <c r="E25" s="57" t="s">
        <v>235</v>
      </c>
    </row>
    <row r="26" spans="1:6" x14ac:dyDescent="0.35">
      <c r="A26" t="s">
        <v>126</v>
      </c>
      <c r="B26" s="47" t="s">
        <v>130</v>
      </c>
      <c r="C26" t="s">
        <v>236</v>
      </c>
      <c r="D26" t="s">
        <v>129</v>
      </c>
      <c r="E26" s="57" t="s">
        <v>237</v>
      </c>
    </row>
    <row r="27" spans="1:6" x14ac:dyDescent="0.35">
      <c r="A27" t="s">
        <v>238</v>
      </c>
      <c r="B27" s="47" t="s">
        <v>239</v>
      </c>
      <c r="C27" t="s">
        <v>240</v>
      </c>
      <c r="D27" t="s">
        <v>241</v>
      </c>
      <c r="E27" s="17" t="s">
        <v>242</v>
      </c>
    </row>
    <row r="28" spans="1:6" x14ac:dyDescent="0.35">
      <c r="A28" t="s">
        <v>243</v>
      </c>
      <c r="B28" s="47" t="s">
        <v>150</v>
      </c>
      <c r="C28" t="s">
        <v>244</v>
      </c>
      <c r="D28" t="s">
        <v>142</v>
      </c>
      <c r="E28" s="53" t="s">
        <v>253</v>
      </c>
    </row>
    <row r="29" spans="1:6" x14ac:dyDescent="0.35">
      <c r="A29" t="s">
        <v>245</v>
      </c>
      <c r="B29" s="47" t="s">
        <v>156</v>
      </c>
      <c r="C29" t="s">
        <v>246</v>
      </c>
      <c r="D29" t="s">
        <v>155</v>
      </c>
      <c r="E29" s="53" t="s">
        <v>247</v>
      </c>
    </row>
    <row r="32" spans="1:6" ht="18.5" x14ac:dyDescent="0.45">
      <c r="A32" s="77" t="s">
        <v>254</v>
      </c>
    </row>
    <row r="33" spans="1:6" x14ac:dyDescent="0.35">
      <c r="A33" s="78" t="s">
        <v>255</v>
      </c>
    </row>
    <row r="34" spans="1:6" x14ac:dyDescent="0.35">
      <c r="A34" s="78" t="s">
        <v>256</v>
      </c>
    </row>
    <row r="35" spans="1:6" x14ac:dyDescent="0.35">
      <c r="A35" s="78" t="s">
        <v>257</v>
      </c>
    </row>
    <row r="37" spans="1:6" ht="16" x14ac:dyDescent="0.4">
      <c r="A37" s="79" t="s">
        <v>258</v>
      </c>
      <c r="B37" s="25"/>
      <c r="C37" s="25"/>
      <c r="D37" s="25"/>
      <c r="E37" s="25"/>
      <c r="F37" s="25"/>
    </row>
    <row r="38" spans="1:6" x14ac:dyDescent="0.35">
      <c r="A38" s="78" t="s">
        <v>259</v>
      </c>
    </row>
    <row r="39" spans="1:6" x14ac:dyDescent="0.35">
      <c r="A39" s="78" t="s">
        <v>260</v>
      </c>
    </row>
    <row r="40" spans="1:6" x14ac:dyDescent="0.35">
      <c r="A40" s="78" t="s">
        <v>261</v>
      </c>
    </row>
    <row r="41" spans="1:6" x14ac:dyDescent="0.35">
      <c r="A41" s="78" t="s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3EC8-1091-484E-8F1B-F5EB5CDA29D3}">
  <dimension ref="A1:L133"/>
  <sheetViews>
    <sheetView tabSelected="1" topLeftCell="A21" zoomScale="65" workbookViewId="0">
      <selection activeCell="B30" sqref="B30"/>
    </sheetView>
  </sheetViews>
  <sheetFormatPr defaultRowHeight="14.5" x14ac:dyDescent="0.35"/>
  <cols>
    <col min="1" max="1" width="38.1796875" customWidth="1"/>
    <col min="2" max="2" width="36.453125" customWidth="1"/>
    <col min="3" max="12" width="14.26953125" customWidth="1"/>
  </cols>
  <sheetData>
    <row r="1" spans="1:12" ht="21" x14ac:dyDescent="0.5">
      <c r="A1" s="92" t="s">
        <v>1071</v>
      </c>
    </row>
    <row r="2" spans="1:12" x14ac:dyDescent="0.35">
      <c r="A2" s="93" t="s">
        <v>1072</v>
      </c>
    </row>
    <row r="3" spans="1:12" x14ac:dyDescent="0.35">
      <c r="A3" s="94" t="s">
        <v>1073</v>
      </c>
    </row>
    <row r="5" spans="1:12" ht="17" x14ac:dyDescent="0.4">
      <c r="A5" s="95" t="s">
        <v>1074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x14ac:dyDescent="0.35">
      <c r="A6" s="97" t="s">
        <v>39</v>
      </c>
      <c r="B6" s="98" t="s">
        <v>1075</v>
      </c>
      <c r="D6" s="97" t="s">
        <v>39</v>
      </c>
      <c r="E6" s="98" t="s">
        <v>1075</v>
      </c>
    </row>
    <row r="7" spans="1:12" x14ac:dyDescent="0.35">
      <c r="A7" s="99" t="s">
        <v>1076</v>
      </c>
      <c r="B7" s="100">
        <v>15.2</v>
      </c>
      <c r="D7" s="99" t="s">
        <v>1077</v>
      </c>
      <c r="E7" s="101">
        <v>6.9699999999999998E-2</v>
      </c>
    </row>
    <row r="8" spans="1:12" x14ac:dyDescent="0.35">
      <c r="A8" t="s">
        <v>1078</v>
      </c>
      <c r="B8" s="100">
        <v>10.5</v>
      </c>
      <c r="D8" t="s">
        <v>1079</v>
      </c>
      <c r="E8" s="101">
        <v>3.3500000000000002E-2</v>
      </c>
    </row>
    <row r="9" spans="1:12" x14ac:dyDescent="0.35">
      <c r="A9" t="s">
        <v>1080</v>
      </c>
      <c r="B9" s="102">
        <v>0.15</v>
      </c>
      <c r="D9" t="s">
        <v>1081</v>
      </c>
      <c r="E9" s="102">
        <v>0.12</v>
      </c>
    </row>
    <row r="10" spans="1:12" x14ac:dyDescent="0.35">
      <c r="A10" t="s">
        <v>1082</v>
      </c>
      <c r="B10" s="101">
        <v>1.8499999999999999E-2</v>
      </c>
      <c r="D10" t="s">
        <v>1083</v>
      </c>
      <c r="E10" s="103">
        <v>2415</v>
      </c>
    </row>
    <row r="11" spans="1:12" x14ac:dyDescent="0.35">
      <c r="A11" t="s">
        <v>1084</v>
      </c>
      <c r="B11" s="101">
        <v>0.1215</v>
      </c>
      <c r="D11" t="s">
        <v>1085</v>
      </c>
      <c r="E11" s="100">
        <v>1.01</v>
      </c>
    </row>
    <row r="12" spans="1:12" x14ac:dyDescent="0.35">
      <c r="A12" t="s">
        <v>1086</v>
      </c>
      <c r="B12" s="101">
        <v>7.0999999999999994E-2</v>
      </c>
      <c r="D12" t="s">
        <v>1087</v>
      </c>
      <c r="E12" s="101">
        <f>E7-B12</f>
        <v>-1.2999999999999956E-3</v>
      </c>
    </row>
    <row r="13" spans="1:12" x14ac:dyDescent="0.35">
      <c r="A13" t="s">
        <v>1088</v>
      </c>
      <c r="B13" s="101">
        <v>0.1547</v>
      </c>
      <c r="D13" t="s">
        <v>1089</v>
      </c>
      <c r="E13" s="101">
        <v>5.9900000000000002E-2</v>
      </c>
    </row>
    <row r="15" spans="1:12" ht="17" x14ac:dyDescent="0.4">
      <c r="A15" s="95" t="s">
        <v>1090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</row>
    <row r="16" spans="1:12" x14ac:dyDescent="0.35">
      <c r="A16" s="106"/>
      <c r="B16" s="106" t="s">
        <v>2</v>
      </c>
      <c r="C16" s="106" t="s">
        <v>3</v>
      </c>
      <c r="D16" s="106" t="s">
        <v>4</v>
      </c>
      <c r="E16" s="106" t="s">
        <v>5</v>
      </c>
      <c r="F16" s="106" t="s">
        <v>6</v>
      </c>
      <c r="G16" s="106" t="s">
        <v>7</v>
      </c>
      <c r="H16" s="106" t="s">
        <v>8</v>
      </c>
      <c r="I16" s="106" t="s">
        <v>9</v>
      </c>
      <c r="J16" s="106" t="s">
        <v>10</v>
      </c>
      <c r="K16" s="106" t="s">
        <v>11</v>
      </c>
      <c r="L16" s="106" t="s">
        <v>1092</v>
      </c>
    </row>
    <row r="17" spans="1:12" x14ac:dyDescent="0.35">
      <c r="A17" s="107" t="s">
        <v>61</v>
      </c>
      <c r="B17" s="13">
        <v>101.1</v>
      </c>
      <c r="C17" s="13">
        <v>158.30000000000001</v>
      </c>
      <c r="D17" s="13">
        <v>250.3</v>
      </c>
      <c r="E17" s="13">
        <v>376.8</v>
      </c>
      <c r="F17" s="13">
        <v>509.7</v>
      </c>
      <c r="G17" s="13">
        <v>717.3</v>
      </c>
      <c r="H17" s="13">
        <v>853.1</v>
      </c>
      <c r="I17" s="13">
        <v>868.7</v>
      </c>
      <c r="J17" s="13">
        <v>941.2</v>
      </c>
      <c r="K17" s="13">
        <v>996.3</v>
      </c>
      <c r="L17" s="13">
        <v>1010.1</v>
      </c>
    </row>
    <row r="18" spans="1:12" x14ac:dyDescent="0.35">
      <c r="A18" s="108" t="s">
        <v>1093</v>
      </c>
      <c r="B18" s="10"/>
      <c r="C18" s="10">
        <v>0.56599999999999995</v>
      </c>
      <c r="D18" s="10">
        <v>0.58099999999999996</v>
      </c>
      <c r="E18" s="10">
        <v>0.505</v>
      </c>
      <c r="F18" s="10">
        <v>0.35299999999999998</v>
      </c>
      <c r="G18" s="10">
        <v>0.40699999999999997</v>
      </c>
      <c r="H18" s="10">
        <v>0.189</v>
      </c>
      <c r="I18" s="10">
        <v>1.7999999999999999E-2</v>
      </c>
      <c r="J18" s="10">
        <v>8.3000000000000004E-2</v>
      </c>
      <c r="K18" s="10">
        <v>5.8999999999999997E-2</v>
      </c>
      <c r="L18" s="10">
        <v>3.7999999999999999E-2</v>
      </c>
    </row>
    <row r="19" spans="1:12" x14ac:dyDescent="0.35">
      <c r="A19" s="107" t="s">
        <v>1094</v>
      </c>
      <c r="B19" s="13">
        <v>32.200000000000003</v>
      </c>
      <c r="C19" s="13">
        <v>43.1</v>
      </c>
      <c r="D19" s="13">
        <v>63.4</v>
      </c>
      <c r="E19" s="13">
        <v>71.099999999999994</v>
      </c>
      <c r="F19" s="13">
        <v>93.9</v>
      </c>
      <c r="G19" s="13">
        <v>89.7</v>
      </c>
      <c r="H19" s="13">
        <v>69.599999999999994</v>
      </c>
      <c r="I19" s="13">
        <v>100.4</v>
      </c>
      <c r="J19" s="13">
        <v>113.4</v>
      </c>
      <c r="K19" s="13">
        <v>140.9</v>
      </c>
      <c r="L19" s="13">
        <v>80.7</v>
      </c>
    </row>
    <row r="20" spans="1:12" x14ac:dyDescent="0.35">
      <c r="A20" s="108" t="s">
        <v>1095</v>
      </c>
      <c r="B20" s="10">
        <v>0.318</v>
      </c>
      <c r="C20" s="10">
        <v>0.27200000000000002</v>
      </c>
      <c r="D20" s="10">
        <v>0.253</v>
      </c>
      <c r="E20" s="10">
        <v>0.189</v>
      </c>
      <c r="F20" s="10">
        <v>0.184</v>
      </c>
      <c r="G20" s="10">
        <v>0.125</v>
      </c>
      <c r="H20" s="10">
        <v>8.2000000000000003E-2</v>
      </c>
      <c r="I20" s="10">
        <v>0.11600000000000001</v>
      </c>
      <c r="J20" s="10">
        <v>0.12</v>
      </c>
      <c r="K20" s="10">
        <v>0.14099999999999999</v>
      </c>
      <c r="L20" s="10">
        <v>0.08</v>
      </c>
    </row>
    <row r="21" spans="1:12" x14ac:dyDescent="0.35">
      <c r="A21" s="107" t="s">
        <v>1096</v>
      </c>
      <c r="B21" s="13">
        <v>71.3</v>
      </c>
      <c r="C21" s="13">
        <v>41.2</v>
      </c>
      <c r="D21" s="13">
        <v>61.4</v>
      </c>
      <c r="E21" s="13">
        <v>87.6</v>
      </c>
      <c r="F21" s="13">
        <v>140.4</v>
      </c>
      <c r="G21" s="13">
        <v>150.30000000000001</v>
      </c>
      <c r="H21" s="109">
        <v>-7.2</v>
      </c>
      <c r="I21" s="13">
        <v>72.5</v>
      </c>
      <c r="J21" s="13">
        <v>79.3</v>
      </c>
      <c r="K21" s="13">
        <v>129.5</v>
      </c>
      <c r="L21" s="13">
        <v>124.7</v>
      </c>
    </row>
    <row r="22" spans="1:12" x14ac:dyDescent="0.35">
      <c r="A22" s="108" t="s">
        <v>1097</v>
      </c>
      <c r="B22" s="10">
        <v>0.70499999999999996</v>
      </c>
      <c r="C22" s="10">
        <v>0.26</v>
      </c>
      <c r="D22" s="10">
        <v>0.245</v>
      </c>
      <c r="E22" s="10">
        <v>0.23200000000000001</v>
      </c>
      <c r="F22" s="10">
        <v>0.27500000000000002</v>
      </c>
      <c r="G22" s="10">
        <v>0.21</v>
      </c>
      <c r="H22" s="10">
        <v>-8.0000000000000002E-3</v>
      </c>
      <c r="I22" s="10">
        <v>8.3000000000000004E-2</v>
      </c>
      <c r="J22" s="10">
        <v>8.4000000000000005E-2</v>
      </c>
      <c r="K22" s="10">
        <v>0.13</v>
      </c>
      <c r="L22" s="10">
        <v>0.123</v>
      </c>
    </row>
    <row r="24" spans="1:12" x14ac:dyDescent="0.35">
      <c r="A24" s="104" t="s">
        <v>1091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</row>
    <row r="25" spans="1:12" x14ac:dyDescent="0.35">
      <c r="A25" s="107" t="s">
        <v>1098</v>
      </c>
      <c r="B25" s="110">
        <v>288</v>
      </c>
      <c r="C25" s="110">
        <v>324</v>
      </c>
      <c r="D25" s="110">
        <v>408</v>
      </c>
      <c r="E25" s="110">
        <v>500</v>
      </c>
      <c r="F25" s="110">
        <v>627</v>
      </c>
      <c r="G25" s="110">
        <v>779</v>
      </c>
      <c r="H25" s="110">
        <v>888</v>
      </c>
      <c r="I25" s="110">
        <v>913</v>
      </c>
      <c r="J25" s="110">
        <v>873</v>
      </c>
      <c r="K25" s="110">
        <v>850</v>
      </c>
      <c r="L25" s="110">
        <v>830</v>
      </c>
    </row>
    <row r="26" spans="1:12" x14ac:dyDescent="0.35">
      <c r="A26" s="108" t="s">
        <v>1099</v>
      </c>
      <c r="B26" s="110">
        <v>62</v>
      </c>
      <c r="C26" s="110">
        <v>106</v>
      </c>
      <c r="D26" s="110">
        <v>100</v>
      </c>
      <c r="E26" s="110">
        <v>115</v>
      </c>
      <c r="F26" s="110">
        <v>150</v>
      </c>
      <c r="G26" s="110">
        <v>167</v>
      </c>
      <c r="H26" s="110">
        <v>184</v>
      </c>
      <c r="I26" s="110">
        <v>188</v>
      </c>
      <c r="J26" s="110">
        <v>191</v>
      </c>
      <c r="K26" s="110">
        <v>205</v>
      </c>
      <c r="L26" s="110">
        <v>220</v>
      </c>
    </row>
    <row r="27" spans="1:12" x14ac:dyDescent="0.35">
      <c r="A27" s="6" t="s">
        <v>1100</v>
      </c>
      <c r="B27" s="111">
        <f t="shared" ref="B27:L27" si="0">B25+B26</f>
        <v>350</v>
      </c>
      <c r="C27" s="111">
        <f t="shared" si="0"/>
        <v>430</v>
      </c>
      <c r="D27" s="111">
        <f t="shared" si="0"/>
        <v>508</v>
      </c>
      <c r="E27" s="111">
        <f t="shared" si="0"/>
        <v>615</v>
      </c>
      <c r="F27" s="111">
        <f t="shared" si="0"/>
        <v>777</v>
      </c>
      <c r="G27" s="111">
        <f t="shared" si="0"/>
        <v>946</v>
      </c>
      <c r="H27" s="111">
        <f t="shared" si="0"/>
        <v>1072</v>
      </c>
      <c r="I27" s="111">
        <f t="shared" si="0"/>
        <v>1101</v>
      </c>
      <c r="J27" s="111">
        <f t="shared" si="0"/>
        <v>1064</v>
      </c>
      <c r="K27" s="111">
        <f t="shared" si="0"/>
        <v>1055</v>
      </c>
      <c r="L27" s="111">
        <f t="shared" si="0"/>
        <v>1050</v>
      </c>
    </row>
    <row r="29" spans="1:12" x14ac:dyDescent="0.35">
      <c r="A29" s="112" t="s">
        <v>1101</v>
      </c>
      <c r="B29" s="113">
        <v>0.248</v>
      </c>
      <c r="C29" s="113">
        <v>0.13500000000000001</v>
      </c>
      <c r="D29" s="113">
        <v>0.16800000000000001</v>
      </c>
      <c r="E29" s="113">
        <v>0.193</v>
      </c>
      <c r="F29" s="113">
        <v>0.249</v>
      </c>
      <c r="G29" s="113">
        <v>0.214</v>
      </c>
      <c r="H29" s="114">
        <v>-8.9999999999999993E-3</v>
      </c>
      <c r="I29" s="113">
        <v>8.1000000000000003E-2</v>
      </c>
      <c r="J29" s="113">
        <v>8.8999999999999996E-2</v>
      </c>
      <c r="K29" s="113">
        <v>0.15</v>
      </c>
      <c r="L29" s="113">
        <v>0.1215</v>
      </c>
    </row>
    <row r="30" spans="1:12" x14ac:dyDescent="0.35">
      <c r="A30" s="115" t="s">
        <v>1102</v>
      </c>
      <c r="B30" s="116">
        <v>0.153</v>
      </c>
      <c r="C30" s="116">
        <v>0.114</v>
      </c>
      <c r="D30" s="116">
        <v>0.13100000000000001</v>
      </c>
      <c r="E30" s="116">
        <v>0.108</v>
      </c>
      <c r="F30" s="116">
        <v>0.11</v>
      </c>
      <c r="G30" s="116">
        <v>8.6999999999999994E-2</v>
      </c>
      <c r="H30" s="116">
        <v>5.7000000000000002E-2</v>
      </c>
      <c r="I30" s="116">
        <v>7.9000000000000001E-2</v>
      </c>
      <c r="J30" s="116">
        <v>9.0999999999999998E-2</v>
      </c>
      <c r="K30" s="116">
        <v>0.113</v>
      </c>
      <c r="L30" s="116">
        <v>6.9699999999999998E-2</v>
      </c>
    </row>
    <row r="31" spans="1:12" x14ac:dyDescent="0.35">
      <c r="A31" s="108" t="s">
        <v>1103</v>
      </c>
      <c r="B31" s="10">
        <v>0.14499999999999999</v>
      </c>
      <c r="C31" s="10">
        <v>6.8000000000000005E-2</v>
      </c>
      <c r="D31" s="10">
        <v>7.1999999999999995E-2</v>
      </c>
      <c r="E31" s="10">
        <v>7.9000000000000001E-2</v>
      </c>
      <c r="F31" s="10">
        <v>9.2999999999999999E-2</v>
      </c>
      <c r="G31" s="10">
        <v>7.1999999999999995E-2</v>
      </c>
      <c r="H31" s="114">
        <v>-3.0000000000000001E-3</v>
      </c>
      <c r="I31" s="10">
        <v>3.6999999999999998E-2</v>
      </c>
      <c r="J31" s="10">
        <v>4.2000000000000003E-2</v>
      </c>
      <c r="K31" s="10">
        <v>7.1999999999999995E-2</v>
      </c>
      <c r="L31" s="10">
        <v>5.5E-2</v>
      </c>
    </row>
    <row r="32" spans="1:12" x14ac:dyDescent="0.35">
      <c r="A32" s="108" t="s">
        <v>1104</v>
      </c>
      <c r="B32" s="10">
        <v>0.42</v>
      </c>
      <c r="C32" s="10">
        <v>0.40699999999999997</v>
      </c>
      <c r="D32" s="10">
        <v>0.37</v>
      </c>
      <c r="E32" s="10">
        <v>0.30299999999999999</v>
      </c>
      <c r="F32" s="10">
        <v>0.26900000000000002</v>
      </c>
      <c r="G32" s="10">
        <v>0.27400000000000002</v>
      </c>
      <c r="H32" s="10">
        <v>0.20499999999999999</v>
      </c>
      <c r="I32" s="10">
        <v>0.188</v>
      </c>
      <c r="J32" s="10">
        <v>0.17499999999999999</v>
      </c>
      <c r="K32" s="10">
        <v>0.17399999999999999</v>
      </c>
      <c r="L32" s="10">
        <v>9.5000000000000001E-2</v>
      </c>
    </row>
    <row r="33" spans="1:12" x14ac:dyDescent="0.35">
      <c r="A33" s="108" t="s">
        <v>1105</v>
      </c>
      <c r="B33" s="10">
        <v>0.41199999999999998</v>
      </c>
      <c r="C33" s="10">
        <v>0.38800000000000001</v>
      </c>
      <c r="D33" s="10">
        <v>0.379</v>
      </c>
      <c r="E33" s="10">
        <v>0.29099999999999998</v>
      </c>
      <c r="F33" s="10">
        <v>0.28299999999999997</v>
      </c>
      <c r="G33" s="10">
        <v>0.247</v>
      </c>
      <c r="H33" s="10">
        <v>0.16</v>
      </c>
      <c r="I33" s="10">
        <v>0.16900000000000001</v>
      </c>
      <c r="J33" s="10">
        <v>0.16600000000000001</v>
      </c>
      <c r="K33" s="10">
        <v>7.3999999999999996E-2</v>
      </c>
      <c r="L33" s="10">
        <v>3.5000000000000003E-2</v>
      </c>
    </row>
    <row r="34" spans="1:12" x14ac:dyDescent="0.35">
      <c r="A34" s="117" t="s">
        <v>1106</v>
      </c>
      <c r="B34" s="118">
        <v>7.0999999999999994E-2</v>
      </c>
      <c r="C34" s="118">
        <v>7.0999999999999994E-2</v>
      </c>
      <c r="D34" s="118">
        <v>7.0999999999999994E-2</v>
      </c>
      <c r="E34" s="118">
        <v>7.0999999999999994E-2</v>
      </c>
      <c r="F34" s="118">
        <v>7.0999999999999994E-2</v>
      </c>
      <c r="G34" s="118">
        <v>7.0999999999999994E-2</v>
      </c>
      <c r="H34" s="118">
        <v>7.0999999999999994E-2</v>
      </c>
      <c r="I34" s="118">
        <v>7.0999999999999994E-2</v>
      </c>
      <c r="J34" s="118">
        <v>7.0999999999999994E-2</v>
      </c>
      <c r="K34" s="118">
        <v>7.0999999999999994E-2</v>
      </c>
      <c r="L34" s="118">
        <v>7.0999999999999994E-2</v>
      </c>
    </row>
    <row r="35" spans="1:12" x14ac:dyDescent="0.35">
      <c r="A35" s="107" t="s">
        <v>1107</v>
      </c>
      <c r="B35" s="119">
        <f>B30-B34</f>
        <v>8.2000000000000003E-2</v>
      </c>
      <c r="C35" s="119">
        <f t="shared" ref="C35:L35" si="1">C30-C34</f>
        <v>4.300000000000001E-2</v>
      </c>
      <c r="D35" s="119">
        <f t="shared" si="1"/>
        <v>6.0000000000000012E-2</v>
      </c>
      <c r="E35" s="119">
        <f t="shared" si="1"/>
        <v>3.7000000000000005E-2</v>
      </c>
      <c r="F35" s="119">
        <f t="shared" si="1"/>
        <v>3.9000000000000007E-2</v>
      </c>
      <c r="G35" s="119">
        <f t="shared" si="1"/>
        <v>1.6E-2</v>
      </c>
      <c r="H35" s="119">
        <f t="shared" si="1"/>
        <v>-1.3999999999999992E-2</v>
      </c>
      <c r="I35" s="119">
        <f t="shared" si="1"/>
        <v>8.0000000000000071E-3</v>
      </c>
      <c r="J35" s="119">
        <f t="shared" si="1"/>
        <v>2.0000000000000004E-2</v>
      </c>
      <c r="K35" s="119">
        <f t="shared" si="1"/>
        <v>4.200000000000001E-2</v>
      </c>
      <c r="L35" s="119">
        <f t="shared" si="1"/>
        <v>-1.2999999999999956E-3</v>
      </c>
    </row>
    <row r="37" spans="1:12" ht="17" x14ac:dyDescent="0.4">
      <c r="A37" s="95" t="s">
        <v>1108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</row>
    <row r="38" spans="1:12" x14ac:dyDescent="0.35">
      <c r="A38" s="120"/>
      <c r="B38" s="120" t="s">
        <v>12</v>
      </c>
      <c r="C38" s="120" t="s">
        <v>40</v>
      </c>
      <c r="D38" s="120" t="s">
        <v>41</v>
      </c>
      <c r="E38" s="120" t="s">
        <v>42</v>
      </c>
      <c r="F38" s="120" t="s">
        <v>43</v>
      </c>
      <c r="G38" s="120" t="s">
        <v>44</v>
      </c>
      <c r="H38" s="120" t="s">
        <v>45</v>
      </c>
      <c r="I38" s="120" t="s">
        <v>46</v>
      </c>
      <c r="J38" s="120" t="s">
        <v>47</v>
      </c>
      <c r="K38" s="120" t="s">
        <v>48</v>
      </c>
    </row>
    <row r="39" spans="1:12" x14ac:dyDescent="0.35">
      <c r="A39" s="107" t="s">
        <v>61</v>
      </c>
      <c r="B39" s="110">
        <v>1024</v>
      </c>
      <c r="C39" s="110">
        <v>1147</v>
      </c>
      <c r="D39" s="110">
        <v>1307</v>
      </c>
      <c r="E39" s="110">
        <v>1464</v>
      </c>
      <c r="F39" s="110">
        <v>1611</v>
      </c>
      <c r="G39" s="110">
        <v>1756</v>
      </c>
      <c r="H39" s="110">
        <v>1896</v>
      </c>
      <c r="I39" s="110">
        <v>2029</v>
      </c>
      <c r="J39" s="110">
        <v>2161</v>
      </c>
      <c r="K39" s="110">
        <v>2290</v>
      </c>
    </row>
    <row r="40" spans="1:12" x14ac:dyDescent="0.35">
      <c r="A40" s="121" t="s">
        <v>1109</v>
      </c>
      <c r="B40" s="27">
        <v>2.8000000000000001E-2</v>
      </c>
      <c r="C40" s="27">
        <v>0.12</v>
      </c>
      <c r="D40" s="27">
        <v>0.14000000000000001</v>
      </c>
      <c r="E40" s="27">
        <v>0.12</v>
      </c>
      <c r="F40" s="27">
        <v>0.1</v>
      </c>
      <c r="G40" s="27">
        <v>0.09</v>
      </c>
      <c r="H40" s="27">
        <v>0.08</v>
      </c>
      <c r="I40" s="27">
        <v>7.0000000000000007E-2</v>
      </c>
      <c r="J40" s="27">
        <v>6.5000000000000002E-2</v>
      </c>
      <c r="K40" s="27">
        <v>0.06</v>
      </c>
    </row>
    <row r="41" spans="1:12" x14ac:dyDescent="0.35">
      <c r="A41" s="121" t="s">
        <v>1110</v>
      </c>
      <c r="B41" s="27">
        <v>7.0000000000000007E-2</v>
      </c>
      <c r="C41" s="27">
        <v>0.1</v>
      </c>
      <c r="D41" s="27">
        <v>0.13</v>
      </c>
      <c r="E41" s="27">
        <v>0.155</v>
      </c>
      <c r="F41" s="27">
        <v>0.17</v>
      </c>
      <c r="G41" s="27">
        <v>0.18</v>
      </c>
      <c r="H41" s="27">
        <v>0.19</v>
      </c>
      <c r="I41" s="27">
        <v>0.19500000000000001</v>
      </c>
      <c r="J41" s="27">
        <v>0.2</v>
      </c>
      <c r="K41" s="27">
        <v>0.2</v>
      </c>
    </row>
    <row r="42" spans="1:12" x14ac:dyDescent="0.35">
      <c r="A42" s="107" t="s">
        <v>1111</v>
      </c>
      <c r="B42" s="13">
        <v>60.9</v>
      </c>
      <c r="C42" s="13">
        <v>97.5</v>
      </c>
      <c r="D42" s="13">
        <v>144.5</v>
      </c>
      <c r="E42" s="13">
        <v>192.9</v>
      </c>
      <c r="F42" s="13">
        <v>232.8</v>
      </c>
      <c r="G42" s="13">
        <v>268.60000000000002</v>
      </c>
      <c r="H42" s="13">
        <v>306.2</v>
      </c>
      <c r="I42" s="13">
        <v>336.3</v>
      </c>
      <c r="J42" s="13">
        <v>367.3</v>
      </c>
      <c r="K42" s="13">
        <v>389.4</v>
      </c>
    </row>
    <row r="43" spans="1:12" x14ac:dyDescent="0.35">
      <c r="A43" s="121" t="s">
        <v>1112</v>
      </c>
      <c r="B43" s="20">
        <v>1100</v>
      </c>
      <c r="C43" s="20">
        <v>1200</v>
      </c>
      <c r="D43" s="20">
        <v>1350</v>
      </c>
      <c r="E43" s="20">
        <v>1500</v>
      </c>
      <c r="F43" s="20">
        <v>1650</v>
      </c>
      <c r="G43" s="20">
        <v>1800</v>
      </c>
      <c r="H43" s="20">
        <v>1950</v>
      </c>
      <c r="I43" s="20">
        <v>2100</v>
      </c>
      <c r="J43" s="20">
        <v>2250</v>
      </c>
      <c r="K43" s="20">
        <v>2400</v>
      </c>
    </row>
    <row r="44" spans="1:12" x14ac:dyDescent="0.35">
      <c r="A44" s="115" t="s">
        <v>1113</v>
      </c>
      <c r="B44" s="122">
        <f t="shared" ref="B44:K44" si="2">B42/B43</f>
        <v>5.5363636363636365E-2</v>
      </c>
      <c r="C44" s="122">
        <f t="shared" si="2"/>
        <v>8.1250000000000003E-2</v>
      </c>
      <c r="D44" s="122">
        <f>D42/D43</f>
        <v>0.10703703703703704</v>
      </c>
      <c r="E44" s="122">
        <f t="shared" si="2"/>
        <v>0.12859999999999999</v>
      </c>
      <c r="F44" s="122">
        <f t="shared" si="2"/>
        <v>0.1410909090909091</v>
      </c>
      <c r="G44" s="122">
        <f t="shared" si="2"/>
        <v>0.14922222222222223</v>
      </c>
      <c r="H44" s="122">
        <f t="shared" si="2"/>
        <v>0.15702564102564101</v>
      </c>
      <c r="I44" s="122">
        <f t="shared" si="2"/>
        <v>0.16014285714285714</v>
      </c>
      <c r="J44" s="122">
        <f t="shared" si="2"/>
        <v>0.16324444444444444</v>
      </c>
      <c r="K44" s="122">
        <f t="shared" si="2"/>
        <v>0.16224999999999998</v>
      </c>
    </row>
    <row r="45" spans="1:12" x14ac:dyDescent="0.35">
      <c r="A45" s="121" t="s">
        <v>1114</v>
      </c>
      <c r="B45" s="20">
        <v>850</v>
      </c>
      <c r="C45" s="20">
        <v>880</v>
      </c>
      <c r="D45" s="20">
        <v>950</v>
      </c>
      <c r="E45" s="20">
        <v>1050</v>
      </c>
      <c r="F45" s="20">
        <v>1150</v>
      </c>
      <c r="G45" s="20">
        <v>1250</v>
      </c>
      <c r="H45" s="20">
        <v>1350</v>
      </c>
      <c r="I45" s="20">
        <v>1450</v>
      </c>
      <c r="J45" s="20">
        <v>1550</v>
      </c>
      <c r="K45" s="20">
        <v>1650</v>
      </c>
    </row>
    <row r="46" spans="1:12" x14ac:dyDescent="0.35">
      <c r="A46" s="112" t="s">
        <v>1115</v>
      </c>
      <c r="B46" s="123">
        <f t="shared" ref="B46:K46" si="3">B42/B45</f>
        <v>7.1647058823529411E-2</v>
      </c>
      <c r="C46" s="123">
        <f t="shared" si="3"/>
        <v>0.11079545454545454</v>
      </c>
      <c r="D46" s="123">
        <f t="shared" si="3"/>
        <v>0.15210526315789474</v>
      </c>
      <c r="E46" s="123">
        <f t="shared" si="3"/>
        <v>0.18371428571428572</v>
      </c>
      <c r="F46" s="123">
        <f t="shared" si="3"/>
        <v>0.20243478260869566</v>
      </c>
      <c r="G46" s="123">
        <f t="shared" si="3"/>
        <v>0.21488000000000002</v>
      </c>
      <c r="H46" s="123">
        <f t="shared" si="3"/>
        <v>0.2268148148148148</v>
      </c>
      <c r="I46" s="123">
        <f t="shared" si="3"/>
        <v>0.23193103448275862</v>
      </c>
      <c r="J46" s="123">
        <f t="shared" si="3"/>
        <v>0.23696774193548387</v>
      </c>
      <c r="K46" s="123">
        <f t="shared" si="3"/>
        <v>0.23599999999999999</v>
      </c>
    </row>
    <row r="47" spans="1:12" x14ac:dyDescent="0.35">
      <c r="A47" s="6" t="s">
        <v>1107</v>
      </c>
      <c r="B47" s="119">
        <f t="shared" ref="B47:K47" si="4">B44-0.071</f>
        <v>-1.5636363636363629E-2</v>
      </c>
      <c r="C47" s="119">
        <f t="shared" si="4"/>
        <v>1.0250000000000009E-2</v>
      </c>
      <c r="D47" s="119">
        <f t="shared" si="4"/>
        <v>3.6037037037037048E-2</v>
      </c>
      <c r="E47" s="119">
        <f t="shared" si="4"/>
        <v>5.7599999999999998E-2</v>
      </c>
      <c r="F47" s="119">
        <f t="shared" si="4"/>
        <v>7.0090909090909106E-2</v>
      </c>
      <c r="G47" s="119">
        <f t="shared" si="4"/>
        <v>7.8222222222222235E-2</v>
      </c>
      <c r="H47" s="119">
        <f t="shared" si="4"/>
        <v>8.6025641025641017E-2</v>
      </c>
      <c r="I47" s="119">
        <f t="shared" si="4"/>
        <v>8.9142857142857149E-2</v>
      </c>
      <c r="J47" s="119">
        <f t="shared" si="4"/>
        <v>9.2244444444444448E-2</v>
      </c>
      <c r="K47" s="119">
        <f t="shared" si="4"/>
        <v>9.1249999999999984E-2</v>
      </c>
    </row>
    <row r="49" spans="1:12" ht="17" x14ac:dyDescent="0.4">
      <c r="A49" s="95" t="s">
        <v>1116</v>
      </c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</row>
    <row r="50" spans="1:12" ht="58" x14ac:dyDescent="0.35">
      <c r="A50" s="124" t="s">
        <v>1117</v>
      </c>
      <c r="B50" s="125" t="s">
        <v>1118</v>
      </c>
    </row>
    <row r="51" spans="1:12" ht="58" x14ac:dyDescent="0.35">
      <c r="B51" s="125" t="s">
        <v>1119</v>
      </c>
    </row>
    <row r="52" spans="1:12" x14ac:dyDescent="0.35">
      <c r="B52" s="125"/>
    </row>
    <row r="53" spans="1:12" ht="72.5" x14ac:dyDescent="0.35">
      <c r="A53" s="124" t="s">
        <v>1120</v>
      </c>
      <c r="B53" s="125" t="s">
        <v>1121</v>
      </c>
    </row>
    <row r="54" spans="1:12" ht="43.5" x14ac:dyDescent="0.35">
      <c r="B54" s="125" t="s">
        <v>1122</v>
      </c>
    </row>
    <row r="55" spans="1:12" x14ac:dyDescent="0.35">
      <c r="B55" s="125"/>
    </row>
    <row r="56" spans="1:12" ht="43.5" x14ac:dyDescent="0.35">
      <c r="A56" s="124" t="s">
        <v>1123</v>
      </c>
      <c r="B56" s="125" t="s">
        <v>1124</v>
      </c>
    </row>
    <row r="57" spans="1:12" ht="58" x14ac:dyDescent="0.35">
      <c r="B57" s="125" t="s">
        <v>1125</v>
      </c>
    </row>
    <row r="58" spans="1:12" ht="58" x14ac:dyDescent="0.35">
      <c r="B58" s="125" t="s">
        <v>1126</v>
      </c>
    </row>
    <row r="59" spans="1:12" x14ac:dyDescent="0.35">
      <c r="B59" s="125"/>
    </row>
    <row r="60" spans="1:12" ht="58" x14ac:dyDescent="0.35">
      <c r="A60" s="124" t="s">
        <v>1127</v>
      </c>
      <c r="B60" s="125" t="s">
        <v>1128</v>
      </c>
    </row>
    <row r="61" spans="1:12" ht="58" x14ac:dyDescent="0.35">
      <c r="B61" s="125" t="s">
        <v>1129</v>
      </c>
    </row>
    <row r="62" spans="1:12" ht="43.5" x14ac:dyDescent="0.35">
      <c r="B62" s="125" t="s">
        <v>1130</v>
      </c>
    </row>
    <row r="65" spans="1:11" x14ac:dyDescent="0.35">
      <c r="A65" s="6"/>
      <c r="B65" s="6" t="s">
        <v>2</v>
      </c>
      <c r="C65" s="6" t="s">
        <v>3</v>
      </c>
      <c r="D65" s="6" t="s">
        <v>4</v>
      </c>
      <c r="E65" s="6" t="s">
        <v>5</v>
      </c>
      <c r="F65" s="6" t="s">
        <v>6</v>
      </c>
      <c r="G65" s="6" t="s">
        <v>7</v>
      </c>
      <c r="H65" s="6" t="s">
        <v>8</v>
      </c>
      <c r="I65" s="6" t="s">
        <v>9</v>
      </c>
      <c r="J65" s="6" t="s">
        <v>10</v>
      </c>
      <c r="K65" s="6" t="s">
        <v>11</v>
      </c>
    </row>
    <row r="66" spans="1:11" x14ac:dyDescent="0.35">
      <c r="A66" s="108" t="s">
        <v>1131</v>
      </c>
      <c r="B66" s="10">
        <v>0.248</v>
      </c>
      <c r="C66" s="10">
        <v>0.13500000000000001</v>
      </c>
      <c r="D66" s="10">
        <v>0.16800000000000001</v>
      </c>
      <c r="E66" s="10">
        <v>0.193</v>
      </c>
      <c r="F66" s="10">
        <v>0.249</v>
      </c>
      <c r="G66" s="10">
        <v>0.214</v>
      </c>
      <c r="H66" s="10">
        <v>-8.9999999999999993E-3</v>
      </c>
      <c r="I66" s="10">
        <v>8.1000000000000003E-2</v>
      </c>
      <c r="J66" s="10">
        <v>8.8999999999999996E-2</v>
      </c>
      <c r="K66" s="10">
        <v>0.15</v>
      </c>
    </row>
    <row r="67" spans="1:11" x14ac:dyDescent="0.35">
      <c r="A67" s="108" t="s">
        <v>1132</v>
      </c>
      <c r="B67" s="10">
        <v>0.153</v>
      </c>
      <c r="C67" s="10">
        <v>0.114</v>
      </c>
      <c r="D67" s="10">
        <v>0.13100000000000001</v>
      </c>
      <c r="E67" s="10">
        <v>0.108</v>
      </c>
      <c r="F67" s="10">
        <v>0.11</v>
      </c>
      <c r="G67" s="10">
        <v>8.6999999999999994E-2</v>
      </c>
      <c r="H67" s="10">
        <v>5.7000000000000002E-2</v>
      </c>
      <c r="I67" s="10">
        <v>7.9000000000000001E-2</v>
      </c>
      <c r="J67" s="10">
        <v>9.0999999999999998E-2</v>
      </c>
      <c r="K67" s="10">
        <v>0.113</v>
      </c>
    </row>
    <row r="68" spans="1:11" x14ac:dyDescent="0.35">
      <c r="A68" s="108" t="s">
        <v>1086</v>
      </c>
      <c r="B68" s="10">
        <v>7.0999999999999994E-2</v>
      </c>
      <c r="C68" s="10">
        <v>7.0999999999999994E-2</v>
      </c>
      <c r="D68" s="10">
        <v>7.0999999999999994E-2</v>
      </c>
      <c r="E68" s="10">
        <v>7.0999999999999994E-2</v>
      </c>
      <c r="F68" s="10">
        <v>7.0999999999999994E-2</v>
      </c>
      <c r="G68" s="10">
        <v>7.0999999999999994E-2</v>
      </c>
      <c r="H68" s="10">
        <v>7.0999999999999994E-2</v>
      </c>
      <c r="I68" s="10">
        <v>7.0999999999999994E-2</v>
      </c>
      <c r="J68" s="10">
        <v>7.0999999999999994E-2</v>
      </c>
      <c r="K68" s="10">
        <v>7.0999999999999994E-2</v>
      </c>
    </row>
    <row r="69" spans="1:11" x14ac:dyDescent="0.35">
      <c r="A69" s="108" t="s">
        <v>1133</v>
      </c>
      <c r="B69" s="10">
        <v>0.14499999999999999</v>
      </c>
      <c r="C69" s="10">
        <v>6.8000000000000005E-2</v>
      </c>
      <c r="D69" s="10">
        <v>7.1999999999999995E-2</v>
      </c>
      <c r="E69" s="10">
        <v>7.9000000000000001E-2</v>
      </c>
      <c r="F69" s="10">
        <v>9.2999999999999999E-2</v>
      </c>
      <c r="G69" s="10">
        <v>7.1999999999999995E-2</v>
      </c>
      <c r="H69" s="10">
        <v>-3.0000000000000001E-3</v>
      </c>
      <c r="I69" s="10">
        <v>3.6999999999999998E-2</v>
      </c>
      <c r="J69" s="10">
        <v>4.2000000000000003E-2</v>
      </c>
      <c r="K69" s="10">
        <v>7.1999999999999995E-2</v>
      </c>
    </row>
    <row r="72" spans="1:11" x14ac:dyDescent="0.35">
      <c r="A72" s="6"/>
      <c r="B72" s="6" t="s">
        <v>2</v>
      </c>
      <c r="C72" s="6" t="s">
        <v>3</v>
      </c>
      <c r="D72" s="6" t="s">
        <v>4</v>
      </c>
      <c r="E72" s="6" t="s">
        <v>5</v>
      </c>
      <c r="F72" s="6" t="s">
        <v>6</v>
      </c>
      <c r="G72" s="6" t="s">
        <v>7</v>
      </c>
      <c r="H72" s="6" t="s">
        <v>8</v>
      </c>
      <c r="I72" s="6" t="s">
        <v>9</v>
      </c>
      <c r="J72" s="6" t="s">
        <v>10</v>
      </c>
      <c r="K72" s="6" t="s">
        <v>11</v>
      </c>
    </row>
    <row r="73" spans="1:11" x14ac:dyDescent="0.35">
      <c r="A73" s="108" t="s">
        <v>13</v>
      </c>
      <c r="B73" s="110">
        <v>101.1</v>
      </c>
      <c r="C73" s="110">
        <v>158.30000000000001</v>
      </c>
      <c r="D73" s="110">
        <v>250.3</v>
      </c>
      <c r="E73" s="110">
        <v>376.8</v>
      </c>
      <c r="F73" s="110">
        <v>509.7</v>
      </c>
      <c r="G73" s="110">
        <v>717.3</v>
      </c>
      <c r="H73" s="110">
        <v>853.1</v>
      </c>
      <c r="I73" s="110">
        <v>868.7</v>
      </c>
      <c r="J73" s="110">
        <v>941.2</v>
      </c>
      <c r="K73" s="110">
        <v>996.3</v>
      </c>
    </row>
    <row r="74" spans="1:11" x14ac:dyDescent="0.35">
      <c r="A74" s="108" t="s">
        <v>1134</v>
      </c>
      <c r="B74" s="110">
        <v>32.200000000000003</v>
      </c>
      <c r="C74" s="110">
        <v>43.1</v>
      </c>
      <c r="D74" s="110">
        <v>63.4</v>
      </c>
      <c r="E74" s="110">
        <v>71.099999999999994</v>
      </c>
      <c r="F74" s="110">
        <v>93.9</v>
      </c>
      <c r="G74" s="110">
        <v>89.7</v>
      </c>
      <c r="H74" s="110">
        <v>69.599999999999994</v>
      </c>
      <c r="I74" s="110">
        <v>100.4</v>
      </c>
      <c r="J74" s="110">
        <v>113.4</v>
      </c>
      <c r="K74" s="110">
        <v>140.9</v>
      </c>
    </row>
    <row r="75" spans="1:11" x14ac:dyDescent="0.35">
      <c r="A75" s="108" t="s">
        <v>1135</v>
      </c>
      <c r="B75" s="110">
        <v>71.3</v>
      </c>
      <c r="C75" s="110">
        <v>41.2</v>
      </c>
      <c r="D75" s="110">
        <v>61.4</v>
      </c>
      <c r="E75" s="110">
        <v>87.6</v>
      </c>
      <c r="F75" s="110">
        <v>140.4</v>
      </c>
      <c r="G75" s="110">
        <v>150.30000000000001</v>
      </c>
      <c r="H75" s="110">
        <v>-7.2</v>
      </c>
      <c r="I75" s="110">
        <v>72.5</v>
      </c>
      <c r="J75" s="110">
        <v>79.3</v>
      </c>
      <c r="K75" s="110">
        <v>129.5</v>
      </c>
    </row>
    <row r="78" spans="1:11" x14ac:dyDescent="0.35">
      <c r="A78" s="6"/>
      <c r="B78" s="6" t="s">
        <v>12</v>
      </c>
      <c r="C78" s="6" t="s">
        <v>40</v>
      </c>
      <c r="D78" s="6" t="s">
        <v>41</v>
      </c>
      <c r="E78" s="6" t="s">
        <v>42</v>
      </c>
      <c r="F78" s="6" t="s">
        <v>43</v>
      </c>
      <c r="G78" s="6" t="s">
        <v>44</v>
      </c>
      <c r="H78" s="6" t="s">
        <v>45</v>
      </c>
      <c r="I78" s="6" t="s">
        <v>46</v>
      </c>
      <c r="J78" s="6" t="s">
        <v>47</v>
      </c>
      <c r="K78" s="6" t="s">
        <v>48</v>
      </c>
    </row>
    <row r="79" spans="1:11" x14ac:dyDescent="0.35">
      <c r="A79" s="108" t="s">
        <v>1113</v>
      </c>
      <c r="B79" s="10">
        <v>5.5399999999999998E-2</v>
      </c>
      <c r="C79" s="10">
        <v>8.1299999999999997E-2</v>
      </c>
      <c r="D79" s="10">
        <v>0.107</v>
      </c>
      <c r="E79" s="10">
        <v>0.12859999999999999</v>
      </c>
      <c r="F79" s="10">
        <v>0.1411</v>
      </c>
      <c r="G79" s="10">
        <v>0.1492</v>
      </c>
      <c r="H79" s="10">
        <v>0.157</v>
      </c>
      <c r="I79" s="10">
        <v>0.16009999999999999</v>
      </c>
      <c r="J79" s="10">
        <v>0.16320000000000001</v>
      </c>
      <c r="K79" s="10">
        <v>0.1623</v>
      </c>
    </row>
    <row r="80" spans="1:11" x14ac:dyDescent="0.35">
      <c r="A80" s="108" t="s">
        <v>1115</v>
      </c>
      <c r="B80" s="10">
        <v>7.1599999999999997E-2</v>
      </c>
      <c r="C80" s="10">
        <v>0.1108</v>
      </c>
      <c r="D80" s="10">
        <v>0.15210000000000001</v>
      </c>
      <c r="E80" s="10">
        <v>0.1837</v>
      </c>
      <c r="F80" s="10">
        <v>0.2024</v>
      </c>
      <c r="G80" s="10">
        <v>0.21490000000000001</v>
      </c>
      <c r="H80" s="10">
        <v>0.2268</v>
      </c>
      <c r="I80" s="10">
        <v>0.2319</v>
      </c>
      <c r="J80" s="10">
        <v>0.23699999999999999</v>
      </c>
      <c r="K80" s="10">
        <v>0.23599999999999999</v>
      </c>
    </row>
    <row r="81" spans="1:11" x14ac:dyDescent="0.35">
      <c r="A81" s="108" t="s">
        <v>1086</v>
      </c>
      <c r="B81" s="10">
        <v>7.0999999999999994E-2</v>
      </c>
      <c r="C81" s="10">
        <v>7.0999999999999994E-2</v>
      </c>
      <c r="D81" s="10">
        <v>7.0999999999999994E-2</v>
      </c>
      <c r="E81" s="10">
        <v>7.0999999999999994E-2</v>
      </c>
      <c r="F81" s="10">
        <v>7.0999999999999994E-2</v>
      </c>
      <c r="G81" s="10">
        <v>7.0999999999999994E-2</v>
      </c>
      <c r="H81" s="10">
        <v>7.0999999999999994E-2</v>
      </c>
      <c r="I81" s="10">
        <v>7.0999999999999994E-2</v>
      </c>
      <c r="J81" s="10">
        <v>7.0999999999999994E-2</v>
      </c>
      <c r="K81" s="10">
        <v>7.0999999999999994E-2</v>
      </c>
    </row>
    <row r="84" spans="1:11" x14ac:dyDescent="0.35">
      <c r="A84" s="6"/>
      <c r="B84" s="6" t="s">
        <v>2</v>
      </c>
      <c r="C84" s="6" t="s">
        <v>3</v>
      </c>
      <c r="D84" s="6" t="s">
        <v>4</v>
      </c>
      <c r="E84" s="6" t="s">
        <v>5</v>
      </c>
      <c r="F84" s="6" t="s">
        <v>6</v>
      </c>
      <c r="G84" s="6" t="s">
        <v>7</v>
      </c>
      <c r="H84" s="6" t="s">
        <v>8</v>
      </c>
      <c r="I84" s="6" t="s">
        <v>9</v>
      </c>
      <c r="J84" s="6" t="s">
        <v>10</v>
      </c>
      <c r="K84" s="6" t="s">
        <v>11</v>
      </c>
    </row>
    <row r="85" spans="1:11" x14ac:dyDescent="0.35">
      <c r="A85" s="108" t="s">
        <v>1136</v>
      </c>
      <c r="B85" s="10">
        <v>0.42</v>
      </c>
      <c r="C85" s="10">
        <v>0.40699999999999997</v>
      </c>
      <c r="D85" s="10">
        <v>0.37</v>
      </c>
      <c r="E85" s="10">
        <v>0.30299999999999999</v>
      </c>
      <c r="F85" s="10">
        <v>0.26900000000000002</v>
      </c>
      <c r="G85" s="10">
        <v>0.27400000000000002</v>
      </c>
      <c r="H85" s="10">
        <v>0.20499999999999999</v>
      </c>
      <c r="I85" s="10">
        <v>0.188</v>
      </c>
      <c r="J85" s="10">
        <v>0.17499999999999999</v>
      </c>
      <c r="K85" s="10">
        <v>0.17399999999999999</v>
      </c>
    </row>
    <row r="86" spans="1:11" x14ac:dyDescent="0.35">
      <c r="A86" s="108" t="s">
        <v>1137</v>
      </c>
      <c r="B86" s="10">
        <v>0.318</v>
      </c>
      <c r="C86" s="10">
        <v>0.27200000000000002</v>
      </c>
      <c r="D86" s="10">
        <v>0.253</v>
      </c>
      <c r="E86" s="10">
        <v>0.189</v>
      </c>
      <c r="F86" s="10">
        <v>0.184</v>
      </c>
      <c r="G86" s="10">
        <v>0.125</v>
      </c>
      <c r="H86" s="10">
        <v>8.2000000000000003E-2</v>
      </c>
      <c r="I86" s="10">
        <v>0.11600000000000001</v>
      </c>
      <c r="J86" s="10">
        <v>0.12</v>
      </c>
      <c r="K86" s="10">
        <v>0.14099999999999999</v>
      </c>
    </row>
    <row r="87" spans="1:11" x14ac:dyDescent="0.35">
      <c r="A87" s="108" t="s">
        <v>1105</v>
      </c>
      <c r="B87" s="10">
        <v>0.41199999999999998</v>
      </c>
      <c r="C87" s="10">
        <v>0.38800000000000001</v>
      </c>
      <c r="D87" s="10">
        <v>0.379</v>
      </c>
      <c r="E87" s="10">
        <v>0.29099999999999998</v>
      </c>
      <c r="F87" s="10">
        <v>0.28299999999999997</v>
      </c>
      <c r="G87" s="10">
        <v>0.247</v>
      </c>
      <c r="H87" s="10">
        <v>0.16</v>
      </c>
      <c r="I87" s="10">
        <v>0.16900000000000001</v>
      </c>
      <c r="J87" s="10">
        <v>0.16600000000000001</v>
      </c>
      <c r="K87" s="10">
        <v>7.3999999999999996E-2</v>
      </c>
    </row>
    <row r="88" spans="1:11" x14ac:dyDescent="0.35">
      <c r="A88" s="108" t="s">
        <v>1138</v>
      </c>
      <c r="B88" s="10">
        <v>0.70499999999999996</v>
      </c>
      <c r="C88" s="10">
        <v>0.26</v>
      </c>
      <c r="D88" s="10">
        <v>0.245</v>
      </c>
      <c r="E88" s="10">
        <v>0.23200000000000001</v>
      </c>
      <c r="F88" s="10">
        <v>0.27500000000000002</v>
      </c>
      <c r="G88" s="10">
        <v>0.21</v>
      </c>
      <c r="H88" s="10">
        <v>-8.0000000000000002E-3</v>
      </c>
      <c r="I88" s="10">
        <v>8.3000000000000004E-2</v>
      </c>
      <c r="J88" s="10">
        <v>8.4000000000000005E-2</v>
      </c>
      <c r="K88" s="10">
        <v>0.13</v>
      </c>
    </row>
    <row r="89" spans="1:11" x14ac:dyDescent="0.35">
      <c r="A89" s="108"/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 spans="1:11" x14ac:dyDescent="0.35">
      <c r="A90" s="108"/>
      <c r="B90" s="10" t="s">
        <v>2</v>
      </c>
      <c r="C90" s="10" t="s">
        <v>3</v>
      </c>
      <c r="D90" s="10" t="s">
        <v>4</v>
      </c>
      <c r="E90" s="10" t="s">
        <v>5</v>
      </c>
      <c r="F90" s="10" t="s">
        <v>6</v>
      </c>
      <c r="G90" s="10" t="s">
        <v>7</v>
      </c>
      <c r="H90" s="10" t="s">
        <v>8</v>
      </c>
      <c r="I90" s="10" t="s">
        <v>9</v>
      </c>
      <c r="J90" s="10" t="s">
        <v>10</v>
      </c>
      <c r="K90" s="10" t="s">
        <v>11</v>
      </c>
    </row>
    <row r="91" spans="1:11" x14ac:dyDescent="0.35">
      <c r="A91" s="108" t="s">
        <v>18</v>
      </c>
      <c r="B91" s="10">
        <v>54.3</v>
      </c>
      <c r="C91" s="10">
        <v>80.3</v>
      </c>
      <c r="D91" s="10">
        <v>122.5</v>
      </c>
      <c r="E91" s="10">
        <v>148</v>
      </c>
      <c r="F91" s="10">
        <v>187.8</v>
      </c>
      <c r="G91" s="10">
        <v>228.5</v>
      </c>
      <c r="H91" s="10">
        <v>196.2</v>
      </c>
      <c r="I91" s="10">
        <v>193.1</v>
      </c>
      <c r="J91" s="10">
        <v>198.5</v>
      </c>
      <c r="K91" s="10">
        <v>194.3</v>
      </c>
    </row>
    <row r="92" spans="1:11" x14ac:dyDescent="0.35">
      <c r="A92" s="108" t="s">
        <v>20</v>
      </c>
      <c r="B92" s="10">
        <v>41.7</v>
      </c>
      <c r="C92" s="10">
        <v>61.4</v>
      </c>
      <c r="D92" s="10">
        <v>94.9</v>
      </c>
      <c r="E92" s="10">
        <v>109.5</v>
      </c>
      <c r="F92" s="10">
        <v>144.19999999999999</v>
      </c>
      <c r="G92" s="10">
        <v>177.3</v>
      </c>
      <c r="H92" s="10">
        <v>136.4</v>
      </c>
      <c r="I92" s="10">
        <v>146.4</v>
      </c>
      <c r="J92" s="10">
        <v>156.19999999999999</v>
      </c>
      <c r="K92" s="10">
        <v>73.900000000000006</v>
      </c>
    </row>
    <row r="93" spans="1:11" x14ac:dyDescent="0.35">
      <c r="A93" s="108" t="s">
        <v>1135</v>
      </c>
      <c r="B93" s="10">
        <v>71.3</v>
      </c>
      <c r="C93" s="10">
        <v>41.2</v>
      </c>
      <c r="D93" s="10">
        <v>61.4</v>
      </c>
      <c r="E93" s="10">
        <v>87.6</v>
      </c>
      <c r="F93" s="10">
        <v>140.4</v>
      </c>
      <c r="G93" s="10">
        <v>150.30000000000001</v>
      </c>
      <c r="H93" s="10">
        <v>-7.2</v>
      </c>
      <c r="I93" s="10">
        <v>72.5</v>
      </c>
      <c r="J93" s="10">
        <v>79.3</v>
      </c>
      <c r="K93" s="10">
        <v>129.5</v>
      </c>
    </row>
    <row r="94" spans="1:11" x14ac:dyDescent="0.35">
      <c r="A94" s="108" t="s">
        <v>19</v>
      </c>
      <c r="B94" s="10">
        <v>12.6</v>
      </c>
      <c r="C94" s="10">
        <v>18.899999999999999</v>
      </c>
      <c r="D94" s="10">
        <v>27.6</v>
      </c>
      <c r="E94" s="10">
        <v>38.5</v>
      </c>
      <c r="F94" s="10">
        <v>43.6</v>
      </c>
      <c r="G94" s="10">
        <v>51.2</v>
      </c>
      <c r="H94" s="10">
        <v>59.8</v>
      </c>
      <c r="I94" s="10">
        <v>46.7</v>
      </c>
      <c r="J94" s="10">
        <v>42.3</v>
      </c>
      <c r="K94" s="10">
        <v>120.4</v>
      </c>
    </row>
    <row r="95" spans="1:11" x14ac:dyDescent="0.35">
      <c r="A95" s="108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spans="1:11" x14ac:dyDescent="0.35">
      <c r="A96" s="108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7" ht="16" x14ac:dyDescent="0.4">
      <c r="A97" s="126" t="s">
        <v>1143</v>
      </c>
    </row>
    <row r="99" spans="1:7" x14ac:dyDescent="0.35">
      <c r="A99" s="134" t="s">
        <v>1144</v>
      </c>
      <c r="B99" s="132" t="s">
        <v>39</v>
      </c>
      <c r="C99" s="132" t="s">
        <v>1145</v>
      </c>
      <c r="D99" s="132" t="s">
        <v>1146</v>
      </c>
      <c r="E99" s="132" t="s">
        <v>1147</v>
      </c>
      <c r="F99" s="132" t="s">
        <v>1148</v>
      </c>
      <c r="G99" s="138" t="s">
        <v>1149</v>
      </c>
    </row>
    <row r="100" spans="1:7" x14ac:dyDescent="0.35">
      <c r="A100" s="135" t="s">
        <v>1150</v>
      </c>
      <c r="B100" s="127"/>
      <c r="C100" s="127"/>
      <c r="D100" s="127"/>
      <c r="E100" s="127"/>
      <c r="F100" s="127"/>
      <c r="G100" s="139"/>
    </row>
    <row r="101" spans="1:7" x14ac:dyDescent="0.35">
      <c r="A101" s="142"/>
      <c r="B101" s="143" t="s">
        <v>1151</v>
      </c>
      <c r="C101" s="143" t="s">
        <v>1152</v>
      </c>
      <c r="D101" s="143" t="s">
        <v>1153</v>
      </c>
      <c r="E101" s="143" t="s">
        <v>1153</v>
      </c>
      <c r="F101" s="144" t="s">
        <v>1154</v>
      </c>
      <c r="G101" s="145">
        <v>6</v>
      </c>
    </row>
    <row r="102" spans="1:7" x14ac:dyDescent="0.35">
      <c r="A102" s="136"/>
      <c r="B102" s="127" t="s">
        <v>1155</v>
      </c>
      <c r="C102" s="127" t="s">
        <v>1156</v>
      </c>
      <c r="D102" s="127" t="s">
        <v>1157</v>
      </c>
      <c r="E102" s="127" t="s">
        <v>1153</v>
      </c>
      <c r="F102" s="128" t="s">
        <v>1154</v>
      </c>
      <c r="G102" s="140">
        <v>4</v>
      </c>
    </row>
    <row r="103" spans="1:7" x14ac:dyDescent="0.35">
      <c r="A103" s="142"/>
      <c r="B103" s="143" t="s">
        <v>1158</v>
      </c>
      <c r="C103" s="143" t="s">
        <v>1159</v>
      </c>
      <c r="D103" s="143" t="s">
        <v>997</v>
      </c>
      <c r="E103" s="143" t="s">
        <v>995</v>
      </c>
      <c r="F103" s="144" t="s">
        <v>1154</v>
      </c>
      <c r="G103" s="145">
        <v>5</v>
      </c>
    </row>
    <row r="104" spans="1:7" x14ac:dyDescent="0.35">
      <c r="A104" s="135" t="s">
        <v>1160</v>
      </c>
      <c r="B104" s="127"/>
      <c r="C104" s="127"/>
      <c r="D104" s="127"/>
      <c r="E104" s="127"/>
      <c r="F104" s="127"/>
      <c r="G104" s="139"/>
    </row>
    <row r="105" spans="1:7" x14ac:dyDescent="0.35">
      <c r="A105" s="136"/>
      <c r="B105" s="127" t="s">
        <v>1161</v>
      </c>
      <c r="C105" s="129">
        <v>0.1215</v>
      </c>
      <c r="D105" s="129">
        <v>0.18</v>
      </c>
      <c r="E105" s="129">
        <v>0.06</v>
      </c>
      <c r="F105" s="130" t="s">
        <v>1154</v>
      </c>
      <c r="G105" s="140">
        <v>7</v>
      </c>
    </row>
    <row r="106" spans="1:7" x14ac:dyDescent="0.35">
      <c r="A106" s="142"/>
      <c r="B106" s="143" t="s">
        <v>1162</v>
      </c>
      <c r="C106" s="146">
        <v>6.9699999999999998E-2</v>
      </c>
      <c r="D106" s="146">
        <v>0.12</v>
      </c>
      <c r="E106" s="146">
        <v>0.05</v>
      </c>
      <c r="F106" s="144" t="s">
        <v>1154</v>
      </c>
      <c r="G106" s="145">
        <v>5</v>
      </c>
    </row>
    <row r="107" spans="1:7" x14ac:dyDescent="0.35">
      <c r="A107" s="136"/>
      <c r="B107" s="127" t="s">
        <v>1077</v>
      </c>
      <c r="C107" s="129">
        <v>0.54879999999999995</v>
      </c>
      <c r="D107" s="129">
        <v>0.15</v>
      </c>
      <c r="E107" s="129">
        <v>0.1</v>
      </c>
      <c r="F107" s="130" t="s">
        <v>1154</v>
      </c>
      <c r="G107" s="140">
        <v>8</v>
      </c>
    </row>
    <row r="108" spans="1:7" x14ac:dyDescent="0.35">
      <c r="A108" s="142"/>
      <c r="B108" s="143" t="s">
        <v>1163</v>
      </c>
      <c r="C108" s="146">
        <v>0.08</v>
      </c>
      <c r="D108" s="146">
        <v>0.15</v>
      </c>
      <c r="E108" s="146">
        <v>0.06</v>
      </c>
      <c r="F108" s="144" t="s">
        <v>1154</v>
      </c>
      <c r="G108" s="145">
        <v>5</v>
      </c>
    </row>
    <row r="109" spans="1:7" x14ac:dyDescent="0.35">
      <c r="A109" s="135" t="s">
        <v>1164</v>
      </c>
      <c r="B109" s="127"/>
      <c r="C109" s="127"/>
      <c r="D109" s="127"/>
      <c r="E109" s="127"/>
      <c r="F109" s="127"/>
      <c r="G109" s="139"/>
    </row>
    <row r="110" spans="1:7" x14ac:dyDescent="0.35">
      <c r="A110" s="136"/>
      <c r="B110" s="127" t="s">
        <v>1165</v>
      </c>
      <c r="C110" s="129">
        <v>0.15</v>
      </c>
      <c r="D110" s="129">
        <v>0.1</v>
      </c>
      <c r="E110" s="129">
        <v>0.12</v>
      </c>
      <c r="F110" s="130" t="s">
        <v>1154</v>
      </c>
      <c r="G110" s="140">
        <v>8</v>
      </c>
    </row>
    <row r="111" spans="1:7" x14ac:dyDescent="0.35">
      <c r="A111" s="142"/>
      <c r="B111" s="143" t="s">
        <v>1166</v>
      </c>
      <c r="C111" s="146">
        <v>0.12</v>
      </c>
      <c r="D111" s="146">
        <v>0.08</v>
      </c>
      <c r="E111" s="146">
        <v>0.1</v>
      </c>
      <c r="F111" s="147" t="s">
        <v>1154</v>
      </c>
      <c r="G111" s="145">
        <v>7</v>
      </c>
    </row>
    <row r="112" spans="1:7" x14ac:dyDescent="0.35">
      <c r="A112" s="136"/>
      <c r="B112" s="127" t="s">
        <v>1167</v>
      </c>
      <c r="C112" s="129">
        <v>3.7999999999999999E-2</v>
      </c>
      <c r="D112" s="129">
        <v>0.05</v>
      </c>
      <c r="E112" s="129">
        <v>0.08</v>
      </c>
      <c r="F112" s="128" t="s">
        <v>1154</v>
      </c>
      <c r="G112" s="140">
        <v>3</v>
      </c>
    </row>
    <row r="113" spans="1:7" x14ac:dyDescent="0.35">
      <c r="A113" s="142"/>
      <c r="B113" s="143" t="s">
        <v>1168</v>
      </c>
      <c r="C113" s="146">
        <v>-0.2</v>
      </c>
      <c r="D113" s="146">
        <v>0.08</v>
      </c>
      <c r="E113" s="146">
        <v>0.05</v>
      </c>
      <c r="F113" s="148" t="s">
        <v>1154</v>
      </c>
      <c r="G113" s="145">
        <v>2</v>
      </c>
    </row>
    <row r="114" spans="1:7" x14ac:dyDescent="0.35">
      <c r="A114" s="135" t="s">
        <v>1169</v>
      </c>
      <c r="B114" s="127"/>
      <c r="C114" s="127"/>
      <c r="D114" s="127"/>
      <c r="E114" s="127"/>
      <c r="F114" s="127"/>
      <c r="G114" s="139"/>
    </row>
    <row r="115" spans="1:7" x14ac:dyDescent="0.35">
      <c r="A115" s="136"/>
      <c r="B115" s="127" t="s">
        <v>1170</v>
      </c>
      <c r="C115" s="131">
        <v>0.24</v>
      </c>
      <c r="D115" s="131">
        <v>0.8</v>
      </c>
      <c r="E115" s="131">
        <v>0.5</v>
      </c>
      <c r="F115" s="130" t="s">
        <v>1154</v>
      </c>
      <c r="G115" s="140">
        <v>9</v>
      </c>
    </row>
    <row r="116" spans="1:7" x14ac:dyDescent="0.35">
      <c r="A116" s="142"/>
      <c r="B116" s="143" t="s">
        <v>1171</v>
      </c>
      <c r="C116" s="143" t="s">
        <v>1172</v>
      </c>
      <c r="D116" s="143" t="s">
        <v>1173</v>
      </c>
      <c r="E116" s="143" t="s">
        <v>1174</v>
      </c>
      <c r="F116" s="147" t="s">
        <v>1154</v>
      </c>
      <c r="G116" s="145">
        <v>8</v>
      </c>
    </row>
    <row r="117" spans="1:7" x14ac:dyDescent="0.35">
      <c r="A117" s="136"/>
      <c r="B117" s="127" t="s">
        <v>1175</v>
      </c>
      <c r="C117" s="127">
        <v>574</v>
      </c>
      <c r="D117" s="127" t="s">
        <v>1003</v>
      </c>
      <c r="E117" s="127" t="s">
        <v>1003</v>
      </c>
      <c r="F117" s="130" t="s">
        <v>1154</v>
      </c>
      <c r="G117" s="140">
        <v>9</v>
      </c>
    </row>
    <row r="118" spans="1:7" x14ac:dyDescent="0.35">
      <c r="A118" s="142"/>
      <c r="B118" s="143" t="s">
        <v>1079</v>
      </c>
      <c r="C118" s="146">
        <v>3.3500000000000002E-2</v>
      </c>
      <c r="D118" s="146">
        <v>0.04</v>
      </c>
      <c r="E118" s="146">
        <v>0.03</v>
      </c>
      <c r="F118" s="144" t="s">
        <v>1154</v>
      </c>
      <c r="G118" s="145">
        <v>5</v>
      </c>
    </row>
    <row r="119" spans="1:7" x14ac:dyDescent="0.35">
      <c r="A119" s="135" t="s">
        <v>1176</v>
      </c>
      <c r="B119" s="127"/>
      <c r="C119" s="127"/>
      <c r="D119" s="127"/>
      <c r="E119" s="127"/>
      <c r="F119" s="127"/>
      <c r="G119" s="139"/>
    </row>
    <row r="120" spans="1:7" x14ac:dyDescent="0.35">
      <c r="A120" s="136"/>
      <c r="B120" s="127" t="s">
        <v>1076</v>
      </c>
      <c r="C120" s="127">
        <v>15.2</v>
      </c>
      <c r="D120" s="127">
        <v>24</v>
      </c>
      <c r="E120" s="127">
        <v>28</v>
      </c>
      <c r="F120" s="130" t="s">
        <v>1154</v>
      </c>
      <c r="G120" s="140">
        <v>8</v>
      </c>
    </row>
    <row r="121" spans="1:7" x14ac:dyDescent="0.35">
      <c r="A121" s="142"/>
      <c r="B121" s="143" t="s">
        <v>1177</v>
      </c>
      <c r="C121" s="143">
        <v>10.5</v>
      </c>
      <c r="D121" s="143">
        <v>21</v>
      </c>
      <c r="E121" s="143">
        <v>22</v>
      </c>
      <c r="F121" s="147" t="s">
        <v>1154</v>
      </c>
      <c r="G121" s="145">
        <v>9</v>
      </c>
    </row>
    <row r="122" spans="1:7" x14ac:dyDescent="0.35">
      <c r="A122" s="136"/>
      <c r="B122" s="127" t="s">
        <v>1178</v>
      </c>
      <c r="C122" s="127">
        <v>1.01</v>
      </c>
      <c r="D122" s="127">
        <v>2.4</v>
      </c>
      <c r="E122" s="127">
        <v>2.2999999999999998</v>
      </c>
      <c r="F122" s="130" t="s">
        <v>1154</v>
      </c>
      <c r="G122" s="140">
        <v>9</v>
      </c>
    </row>
    <row r="123" spans="1:7" x14ac:dyDescent="0.35">
      <c r="A123" s="142"/>
      <c r="B123" s="143" t="s">
        <v>1179</v>
      </c>
      <c r="C123" s="146">
        <v>1.8499999999999999E-2</v>
      </c>
      <c r="D123" s="146">
        <v>1.4E-2</v>
      </c>
      <c r="E123" s="146">
        <v>8.0000000000000002E-3</v>
      </c>
      <c r="F123" s="147" t="s">
        <v>1154</v>
      </c>
      <c r="G123" s="145">
        <v>7</v>
      </c>
    </row>
    <row r="124" spans="1:7" x14ac:dyDescent="0.35">
      <c r="A124" s="136"/>
      <c r="B124" s="127"/>
      <c r="C124" s="127"/>
      <c r="D124" s="127"/>
      <c r="E124" s="127"/>
      <c r="F124" s="127"/>
      <c r="G124" s="139"/>
    </row>
    <row r="125" spans="1:7" x14ac:dyDescent="0.35">
      <c r="A125" s="137"/>
      <c r="B125" s="133"/>
      <c r="C125" s="133"/>
      <c r="D125" s="133"/>
      <c r="E125" s="133"/>
      <c r="F125" s="133"/>
      <c r="G125" s="141"/>
    </row>
    <row r="126" spans="1:7" ht="15" thickBot="1" x14ac:dyDescent="0.4"/>
    <row r="127" spans="1:7" x14ac:dyDescent="0.35">
      <c r="A127" s="155" t="s">
        <v>1180</v>
      </c>
      <c r="B127" s="151"/>
      <c r="C127" s="151"/>
      <c r="D127" s="151"/>
      <c r="E127" s="151"/>
      <c r="F127" s="152" t="s">
        <v>1181</v>
      </c>
      <c r="G127" s="158" t="s">
        <v>1148</v>
      </c>
    </row>
    <row r="128" spans="1:7" x14ac:dyDescent="0.35">
      <c r="A128" s="156" t="s">
        <v>1182</v>
      </c>
      <c r="B128" s="149"/>
      <c r="C128" s="149"/>
      <c r="D128" s="149"/>
      <c r="E128" s="149"/>
      <c r="F128" s="150" t="s">
        <v>1183</v>
      </c>
      <c r="G128" s="159" t="s">
        <v>1184</v>
      </c>
    </row>
    <row r="129" spans="1:7" x14ac:dyDescent="0.35">
      <c r="A129" s="156" t="s">
        <v>1185</v>
      </c>
      <c r="B129" s="149"/>
      <c r="C129" s="149"/>
      <c r="D129" s="149"/>
      <c r="E129" s="149"/>
      <c r="F129" s="150" t="s">
        <v>1186</v>
      </c>
      <c r="G129" s="160" t="s">
        <v>1187</v>
      </c>
    </row>
    <row r="130" spans="1:7" x14ac:dyDescent="0.35">
      <c r="A130" s="156" t="s">
        <v>1188</v>
      </c>
      <c r="B130" s="149"/>
      <c r="C130" s="149"/>
      <c r="D130" s="149"/>
      <c r="E130" s="149"/>
      <c r="F130" s="150" t="s">
        <v>1183</v>
      </c>
      <c r="G130" s="159" t="s">
        <v>1189</v>
      </c>
    </row>
    <row r="131" spans="1:7" x14ac:dyDescent="0.35">
      <c r="A131" s="156" t="s">
        <v>1190</v>
      </c>
      <c r="B131" s="149"/>
      <c r="C131" s="149"/>
      <c r="D131" s="149"/>
      <c r="E131" s="149"/>
      <c r="F131" s="150" t="s">
        <v>1191</v>
      </c>
      <c r="G131" s="160" t="s">
        <v>1192</v>
      </c>
    </row>
    <row r="132" spans="1:7" x14ac:dyDescent="0.35">
      <c r="A132" s="156" t="s">
        <v>1193</v>
      </c>
      <c r="B132" s="149"/>
      <c r="C132" s="149"/>
      <c r="D132" s="149"/>
      <c r="E132" s="149"/>
      <c r="F132" s="150" t="s">
        <v>1194</v>
      </c>
      <c r="G132" s="160" t="s">
        <v>1195</v>
      </c>
    </row>
    <row r="133" spans="1:7" ht="16.5" thickBot="1" x14ac:dyDescent="0.45">
      <c r="A133" s="157" t="s">
        <v>1196</v>
      </c>
      <c r="B133" s="153"/>
      <c r="C133" s="153"/>
      <c r="D133" s="153"/>
      <c r="E133" s="153"/>
      <c r="F133" s="154" t="s">
        <v>1197</v>
      </c>
      <c r="G133" s="161" t="s">
        <v>1198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EBB8-3531-4DE8-991A-5C5515C44DEB}">
  <dimension ref="A1:V65"/>
  <sheetViews>
    <sheetView topLeftCell="A15" workbookViewId="0">
      <pane xSplit="1" topLeftCell="B1" activePane="topRight" state="frozen"/>
      <selection activeCell="A9" sqref="A9"/>
      <selection pane="topRight" activeCell="B39" sqref="B39"/>
    </sheetView>
  </sheetViews>
  <sheetFormatPr defaultRowHeight="14.5" x14ac:dyDescent="0.35"/>
  <cols>
    <col min="1" max="1" width="41.81640625" customWidth="1"/>
    <col min="2" max="22" width="16.1796875" customWidth="1"/>
  </cols>
  <sheetData>
    <row r="1" spans="1:2" ht="18.5" x14ac:dyDescent="0.45">
      <c r="A1" s="23" t="s">
        <v>26</v>
      </c>
    </row>
    <row r="2" spans="1:2" x14ac:dyDescent="0.35">
      <c r="A2" s="24" t="s">
        <v>27</v>
      </c>
    </row>
    <row r="4" spans="1:2" x14ac:dyDescent="0.35">
      <c r="A4" s="2" t="s">
        <v>28</v>
      </c>
      <c r="B4" s="25"/>
    </row>
    <row r="5" spans="1:2" x14ac:dyDescent="0.35">
      <c r="A5" s="6" t="s">
        <v>29</v>
      </c>
      <c r="B5" s="26">
        <v>0.12</v>
      </c>
    </row>
    <row r="6" spans="1:2" x14ac:dyDescent="0.35">
      <c r="A6" s="6" t="s">
        <v>30</v>
      </c>
      <c r="B6" s="26">
        <v>0.03</v>
      </c>
    </row>
    <row r="7" spans="1:2" x14ac:dyDescent="0.35">
      <c r="A7" s="6" t="s">
        <v>31</v>
      </c>
      <c r="B7" s="27">
        <v>0.15</v>
      </c>
    </row>
    <row r="8" spans="1:2" x14ac:dyDescent="0.35">
      <c r="A8" s="6" t="s">
        <v>32</v>
      </c>
      <c r="B8" s="28">
        <v>6.92</v>
      </c>
    </row>
    <row r="9" spans="1:2" x14ac:dyDescent="0.35">
      <c r="A9" s="6" t="s">
        <v>22</v>
      </c>
      <c r="B9" s="20">
        <v>2300</v>
      </c>
    </row>
    <row r="10" spans="1:2" x14ac:dyDescent="0.35">
      <c r="A10" s="6" t="s">
        <v>23</v>
      </c>
      <c r="B10" s="13">
        <f>B9/8</f>
        <v>287.5</v>
      </c>
    </row>
    <row r="11" spans="1:2" x14ac:dyDescent="0.35">
      <c r="A11" s="6" t="s">
        <v>33</v>
      </c>
      <c r="B11" s="20">
        <v>500</v>
      </c>
    </row>
    <row r="12" spans="1:2" x14ac:dyDescent="0.35">
      <c r="A12" s="6" t="s">
        <v>34</v>
      </c>
      <c r="B12" s="29">
        <v>163</v>
      </c>
    </row>
    <row r="13" spans="1:2" x14ac:dyDescent="0.35">
      <c r="A13" s="6" t="s">
        <v>35</v>
      </c>
      <c r="B13" s="13">
        <f>B12*B8*B9/1000</f>
        <v>2594.308</v>
      </c>
    </row>
    <row r="15" spans="1:2" x14ac:dyDescent="0.35">
      <c r="A15" s="2" t="s">
        <v>36</v>
      </c>
      <c r="B15" s="25"/>
    </row>
    <row r="16" spans="1:2" x14ac:dyDescent="0.35">
      <c r="A16" s="6" t="s">
        <v>37</v>
      </c>
      <c r="B16" s="20">
        <v>380</v>
      </c>
    </row>
    <row r="18" spans="1:22" x14ac:dyDescent="0.35">
      <c r="A18" s="2" t="s">
        <v>38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spans="1:22" x14ac:dyDescent="0.35">
      <c r="A19" s="30" t="s">
        <v>39</v>
      </c>
      <c r="B19" s="31" t="s">
        <v>12</v>
      </c>
      <c r="C19" s="31" t="s">
        <v>40</v>
      </c>
      <c r="D19" s="31" t="s">
        <v>41</v>
      </c>
      <c r="E19" s="31" t="s">
        <v>42</v>
      </c>
      <c r="F19" s="31" t="s">
        <v>43</v>
      </c>
      <c r="G19" s="31" t="s">
        <v>44</v>
      </c>
      <c r="H19" s="31" t="s">
        <v>45</v>
      </c>
      <c r="I19" s="31" t="s">
        <v>46</v>
      </c>
      <c r="J19" s="31" t="s">
        <v>47</v>
      </c>
      <c r="K19" s="31" t="s">
        <v>48</v>
      </c>
      <c r="L19" s="31" t="s">
        <v>49</v>
      </c>
      <c r="M19" s="31" t="s">
        <v>50</v>
      </c>
      <c r="N19" s="31" t="s">
        <v>51</v>
      </c>
      <c r="O19" s="31" t="s">
        <v>52</v>
      </c>
      <c r="P19" s="31" t="s">
        <v>53</v>
      </c>
      <c r="Q19" s="31" t="s">
        <v>54</v>
      </c>
      <c r="R19" s="31" t="s">
        <v>55</v>
      </c>
      <c r="S19" s="31" t="s">
        <v>56</v>
      </c>
      <c r="T19" s="31" t="s">
        <v>57</v>
      </c>
      <c r="U19" s="31" t="s">
        <v>58</v>
      </c>
      <c r="V19" s="4" t="s">
        <v>59</v>
      </c>
    </row>
    <row r="20" spans="1:22" x14ac:dyDescent="0.35">
      <c r="A20" s="6" t="s">
        <v>60</v>
      </c>
      <c r="B20" s="27">
        <v>2.8000000000000001E-2</v>
      </c>
      <c r="C20" s="27">
        <v>0.12</v>
      </c>
      <c r="D20" s="27">
        <v>0.14000000000000001</v>
      </c>
      <c r="E20" s="27">
        <v>0.12</v>
      </c>
      <c r="F20" s="27">
        <v>0.1</v>
      </c>
      <c r="G20" s="27">
        <v>0.09</v>
      </c>
      <c r="H20" s="27">
        <v>0.08</v>
      </c>
      <c r="I20" s="27">
        <v>7.0000000000000007E-2</v>
      </c>
      <c r="J20" s="27">
        <v>6.5000000000000002E-2</v>
      </c>
      <c r="K20" s="27">
        <v>0.06</v>
      </c>
      <c r="L20" s="27">
        <v>5.5E-2</v>
      </c>
      <c r="M20" s="27">
        <v>0.05</v>
      </c>
      <c r="N20" s="27">
        <v>4.4999999999999998E-2</v>
      </c>
      <c r="O20" s="27">
        <v>0.04</v>
      </c>
      <c r="P20" s="27">
        <v>0.04</v>
      </c>
      <c r="Q20" s="27">
        <v>3.5000000000000003E-2</v>
      </c>
      <c r="R20" s="27">
        <v>3.5000000000000003E-2</v>
      </c>
      <c r="S20" s="27">
        <v>0.03</v>
      </c>
      <c r="T20" s="27">
        <v>0.03</v>
      </c>
      <c r="U20" s="27">
        <v>0.03</v>
      </c>
      <c r="V20" s="8"/>
    </row>
    <row r="21" spans="1:22" x14ac:dyDescent="0.35">
      <c r="A21" s="6" t="s">
        <v>61</v>
      </c>
      <c r="B21" s="13">
        <v>1024</v>
      </c>
      <c r="C21" s="13">
        <f t="shared" ref="C21:U21" si="0">B21*(1+C20)</f>
        <v>1146.8800000000001</v>
      </c>
      <c r="D21" s="13">
        <f t="shared" si="0"/>
        <v>1307.4432000000002</v>
      </c>
      <c r="E21" s="13">
        <f t="shared" si="0"/>
        <v>1464.3363840000004</v>
      </c>
      <c r="F21" s="13">
        <f t="shared" si="0"/>
        <v>1610.7700224000005</v>
      </c>
      <c r="G21" s="13">
        <f t="shared" si="0"/>
        <v>1755.7393244160007</v>
      </c>
      <c r="H21" s="13">
        <f t="shared" si="0"/>
        <v>1896.1984703692808</v>
      </c>
      <c r="I21" s="13">
        <f t="shared" si="0"/>
        <v>2028.9323632951307</v>
      </c>
      <c r="J21" s="13">
        <f t="shared" si="0"/>
        <v>2160.8129669093141</v>
      </c>
      <c r="K21" s="13">
        <f t="shared" si="0"/>
        <v>2290.4617449238731</v>
      </c>
      <c r="L21" s="13">
        <f t="shared" si="0"/>
        <v>2416.4371408946859</v>
      </c>
      <c r="M21" s="13">
        <f t="shared" si="0"/>
        <v>2537.2589979394202</v>
      </c>
      <c r="N21" s="13">
        <f t="shared" si="0"/>
        <v>2651.4356528466938</v>
      </c>
      <c r="O21" s="13">
        <f t="shared" si="0"/>
        <v>2757.4930789605614</v>
      </c>
      <c r="P21" s="13">
        <f t="shared" si="0"/>
        <v>2867.7928021189841</v>
      </c>
      <c r="Q21" s="13">
        <f t="shared" si="0"/>
        <v>2968.1655501931482</v>
      </c>
      <c r="R21" s="13">
        <f t="shared" si="0"/>
        <v>3072.0513444499084</v>
      </c>
      <c r="S21" s="13">
        <f t="shared" si="0"/>
        <v>3164.2128847834056</v>
      </c>
      <c r="T21" s="13">
        <f t="shared" si="0"/>
        <v>3259.1392713269079</v>
      </c>
      <c r="U21" s="13">
        <f t="shared" si="0"/>
        <v>3356.9134494667151</v>
      </c>
    </row>
    <row r="22" spans="1:22" ht="21" customHeight="1" x14ac:dyDescent="0.35"/>
    <row r="23" spans="1:22" x14ac:dyDescent="0.35">
      <c r="A23" s="6" t="s">
        <v>62</v>
      </c>
      <c r="B23" s="27">
        <v>7.0000000000000007E-2</v>
      </c>
      <c r="C23" s="27">
        <v>0.1</v>
      </c>
      <c r="D23" s="27">
        <v>0.13</v>
      </c>
      <c r="E23" s="27">
        <v>0.155</v>
      </c>
      <c r="F23" s="27">
        <v>0.17</v>
      </c>
      <c r="G23" s="27">
        <v>0.18</v>
      </c>
      <c r="H23" s="27">
        <v>0.19</v>
      </c>
      <c r="I23" s="27">
        <v>0.19500000000000001</v>
      </c>
      <c r="J23" s="27">
        <v>0.2</v>
      </c>
      <c r="K23" s="27">
        <v>0.2</v>
      </c>
      <c r="L23" s="27">
        <v>0.20499999999999999</v>
      </c>
      <c r="M23" s="27">
        <v>0.21</v>
      </c>
      <c r="N23" s="27">
        <v>0.21</v>
      </c>
      <c r="O23" s="27">
        <v>0.215</v>
      </c>
      <c r="P23" s="27">
        <v>0.215</v>
      </c>
      <c r="Q23" s="27">
        <v>0.22</v>
      </c>
      <c r="R23" s="27">
        <v>0.22</v>
      </c>
      <c r="S23" s="27">
        <v>0.22</v>
      </c>
      <c r="T23" s="27">
        <v>0.22</v>
      </c>
      <c r="U23" s="27">
        <v>0.22</v>
      </c>
    </row>
    <row r="24" spans="1:22" x14ac:dyDescent="0.35">
      <c r="A24" s="6" t="s">
        <v>63</v>
      </c>
      <c r="B24" s="13">
        <f t="shared" ref="B24:U24" si="1">B21*B23</f>
        <v>71.680000000000007</v>
      </c>
      <c r="C24" s="13">
        <f t="shared" si="1"/>
        <v>114.68800000000002</v>
      </c>
      <c r="D24" s="13">
        <f t="shared" si="1"/>
        <v>169.96761600000002</v>
      </c>
      <c r="E24" s="13">
        <f t="shared" si="1"/>
        <v>226.97213952000007</v>
      </c>
      <c r="F24" s="13">
        <f t="shared" si="1"/>
        <v>273.83090380800007</v>
      </c>
      <c r="G24" s="13">
        <f t="shared" si="1"/>
        <v>316.03307839488014</v>
      </c>
      <c r="H24" s="13">
        <f t="shared" si="1"/>
        <v>360.27770937016334</v>
      </c>
      <c r="I24" s="13">
        <f t="shared" si="1"/>
        <v>395.64181084255051</v>
      </c>
      <c r="J24" s="13">
        <f t="shared" si="1"/>
        <v>432.16259338186285</v>
      </c>
      <c r="K24" s="13">
        <f t="shared" si="1"/>
        <v>458.09234898477462</v>
      </c>
      <c r="L24" s="13">
        <f t="shared" si="1"/>
        <v>495.36961388341058</v>
      </c>
      <c r="M24" s="13">
        <f t="shared" si="1"/>
        <v>532.82438956727822</v>
      </c>
      <c r="N24" s="13">
        <f t="shared" si="1"/>
        <v>556.80148709780565</v>
      </c>
      <c r="O24" s="13">
        <f t="shared" si="1"/>
        <v>592.86101197652067</v>
      </c>
      <c r="P24" s="13">
        <f t="shared" si="1"/>
        <v>616.57545245558163</v>
      </c>
      <c r="Q24" s="13">
        <f t="shared" si="1"/>
        <v>652.99642104249256</v>
      </c>
      <c r="R24" s="13">
        <f t="shared" si="1"/>
        <v>675.85129577897987</v>
      </c>
      <c r="S24" s="13">
        <f t="shared" si="1"/>
        <v>696.1268346523492</v>
      </c>
      <c r="T24" s="13">
        <f t="shared" si="1"/>
        <v>717.01063969191978</v>
      </c>
      <c r="U24" s="13">
        <f t="shared" si="1"/>
        <v>738.52095888267729</v>
      </c>
    </row>
    <row r="25" spans="1:22" x14ac:dyDescent="0.35">
      <c r="A25" s="6" t="s">
        <v>64</v>
      </c>
      <c r="B25" s="13">
        <f t="shared" ref="B25:U25" si="2">B24*$B$7</f>
        <v>10.752000000000001</v>
      </c>
      <c r="C25" s="13">
        <f t="shared" si="2"/>
        <v>17.203200000000002</v>
      </c>
      <c r="D25" s="13">
        <f t="shared" si="2"/>
        <v>25.495142400000002</v>
      </c>
      <c r="E25" s="13">
        <f t="shared" si="2"/>
        <v>34.045820928000012</v>
      </c>
      <c r="F25" s="13">
        <f t="shared" si="2"/>
        <v>41.074635571200012</v>
      </c>
      <c r="G25" s="13">
        <f t="shared" si="2"/>
        <v>47.404961759232016</v>
      </c>
      <c r="H25" s="13">
        <f t="shared" si="2"/>
        <v>54.041656405524499</v>
      </c>
      <c r="I25" s="13">
        <f t="shared" si="2"/>
        <v>59.346271626382574</v>
      </c>
      <c r="J25" s="13">
        <f t="shared" si="2"/>
        <v>64.824389007279422</v>
      </c>
      <c r="K25" s="13">
        <f t="shared" si="2"/>
        <v>68.713852347716184</v>
      </c>
      <c r="L25" s="13">
        <f t="shared" si="2"/>
        <v>74.30544208251159</v>
      </c>
      <c r="M25" s="13">
        <f t="shared" si="2"/>
        <v>79.923658435091724</v>
      </c>
      <c r="N25" s="13">
        <f t="shared" si="2"/>
        <v>83.520223064670844</v>
      </c>
      <c r="O25" s="13">
        <f t="shared" si="2"/>
        <v>88.929151796478095</v>
      </c>
      <c r="P25" s="13">
        <f t="shared" si="2"/>
        <v>92.486317868337238</v>
      </c>
      <c r="Q25" s="13">
        <f t="shared" si="2"/>
        <v>97.949463156373881</v>
      </c>
      <c r="R25" s="13">
        <f t="shared" si="2"/>
        <v>101.37769436684698</v>
      </c>
      <c r="S25" s="13">
        <f t="shared" si="2"/>
        <v>104.41902519785238</v>
      </c>
      <c r="T25" s="13">
        <f t="shared" si="2"/>
        <v>107.55159595378797</v>
      </c>
      <c r="U25" s="13">
        <f t="shared" si="2"/>
        <v>110.7781438324016</v>
      </c>
    </row>
    <row r="26" spans="1:22" x14ac:dyDescent="0.35">
      <c r="A26" s="6" t="s">
        <v>65</v>
      </c>
      <c r="B26" s="14">
        <f t="shared" ref="B26:U26" si="3">B24-B25</f>
        <v>60.928000000000004</v>
      </c>
      <c r="C26" s="14">
        <f t="shared" si="3"/>
        <v>97.484800000000007</v>
      </c>
      <c r="D26" s="14">
        <f t="shared" si="3"/>
        <v>144.47247360000003</v>
      </c>
      <c r="E26" s="14">
        <f t="shared" si="3"/>
        <v>192.92631859200006</v>
      </c>
      <c r="F26" s="14">
        <f t="shared" si="3"/>
        <v>232.75626823680005</v>
      </c>
      <c r="G26" s="14">
        <f t="shared" si="3"/>
        <v>268.6281166356481</v>
      </c>
      <c r="H26" s="14">
        <f t="shared" si="3"/>
        <v>306.23605296463882</v>
      </c>
      <c r="I26" s="14">
        <f t="shared" si="3"/>
        <v>336.29553921616792</v>
      </c>
      <c r="J26" s="14">
        <f t="shared" si="3"/>
        <v>367.33820437458343</v>
      </c>
      <c r="K26" s="14">
        <f t="shared" si="3"/>
        <v>389.37849663705845</v>
      </c>
      <c r="L26" s="14">
        <f t="shared" si="3"/>
        <v>421.06417180089898</v>
      </c>
      <c r="M26" s="14">
        <f t="shared" si="3"/>
        <v>452.90073113218648</v>
      </c>
      <c r="N26" s="14">
        <f t="shared" si="3"/>
        <v>473.28126403313479</v>
      </c>
      <c r="O26" s="14">
        <f t="shared" si="3"/>
        <v>503.93186018004258</v>
      </c>
      <c r="P26" s="14">
        <f t="shared" si="3"/>
        <v>524.08913458724442</v>
      </c>
      <c r="Q26" s="14">
        <f t="shared" si="3"/>
        <v>555.04695788611866</v>
      </c>
      <c r="R26" s="14">
        <f t="shared" si="3"/>
        <v>574.47360141213289</v>
      </c>
      <c r="S26" s="14">
        <f t="shared" si="3"/>
        <v>591.70780945449678</v>
      </c>
      <c r="T26" s="14">
        <f t="shared" si="3"/>
        <v>609.45904373813187</v>
      </c>
      <c r="U26" s="14">
        <f t="shared" si="3"/>
        <v>627.74281505027568</v>
      </c>
    </row>
    <row r="27" spans="1:22" x14ac:dyDescent="0.35">
      <c r="A27" s="6" t="s">
        <v>66</v>
      </c>
      <c r="B27" s="13">
        <f>B21*0.032</f>
        <v>32.768000000000001</v>
      </c>
      <c r="C27" s="13">
        <f>C21*0.035</f>
        <v>40.140800000000006</v>
      </c>
      <c r="D27" s="13">
        <f>D21*0.038</f>
        <v>49.682841600000003</v>
      </c>
      <c r="E27" s="13">
        <f t="shared" ref="E27:U27" si="4">E21*0.04</f>
        <v>58.573455360000018</v>
      </c>
      <c r="F27" s="13">
        <f t="shared" si="4"/>
        <v>64.430800896000022</v>
      </c>
      <c r="G27" s="13">
        <f t="shared" si="4"/>
        <v>70.229572976640029</v>
      </c>
      <c r="H27" s="13">
        <f t="shared" si="4"/>
        <v>75.84793881477124</v>
      </c>
      <c r="I27" s="13">
        <f t="shared" si="4"/>
        <v>81.157294531805235</v>
      </c>
      <c r="J27" s="13">
        <f t="shared" si="4"/>
        <v>86.432518676372567</v>
      </c>
      <c r="K27" s="13">
        <f t="shared" si="4"/>
        <v>91.618469796954926</v>
      </c>
      <c r="L27" s="13">
        <f t="shared" si="4"/>
        <v>96.657485635787438</v>
      </c>
      <c r="M27" s="13">
        <f t="shared" si="4"/>
        <v>101.49035991757681</v>
      </c>
      <c r="N27" s="13">
        <f t="shared" si="4"/>
        <v>106.05742611386775</v>
      </c>
      <c r="O27" s="13">
        <f t="shared" si="4"/>
        <v>110.29972315842247</v>
      </c>
      <c r="P27" s="13">
        <f t="shared" si="4"/>
        <v>114.71171208475937</v>
      </c>
      <c r="Q27" s="13">
        <f t="shared" si="4"/>
        <v>118.72662200772594</v>
      </c>
      <c r="R27" s="13">
        <f t="shared" si="4"/>
        <v>122.88205377799633</v>
      </c>
      <c r="S27" s="13">
        <f t="shared" si="4"/>
        <v>126.56851539133622</v>
      </c>
      <c r="T27" s="13">
        <f t="shared" si="4"/>
        <v>130.36557085307632</v>
      </c>
      <c r="U27" s="13">
        <f t="shared" si="4"/>
        <v>134.27653797866861</v>
      </c>
    </row>
    <row r="28" spans="1:22" x14ac:dyDescent="0.35">
      <c r="A28" s="6" t="s">
        <v>67</v>
      </c>
      <c r="B28" s="32">
        <f>-B21*0.135</f>
        <v>-138.24</v>
      </c>
      <c r="C28" s="32">
        <f>-C21*0.12</f>
        <v>-137.62560000000002</v>
      </c>
      <c r="D28" s="32">
        <f>-D21*0.1</f>
        <v>-130.74432000000002</v>
      </c>
      <c r="E28" s="32">
        <f>-E21*0.08</f>
        <v>-117.14691072000004</v>
      </c>
      <c r="F28" s="32">
        <f>-F21*0.07</f>
        <v>-112.75390156800005</v>
      </c>
      <c r="G28" s="32">
        <f>-G21*0.065</f>
        <v>-114.12305608704006</v>
      </c>
      <c r="H28" s="32">
        <f>-H21*0.06</f>
        <v>-113.77190822215684</v>
      </c>
      <c r="I28" s="32">
        <f>-I21*0.06</f>
        <v>-121.73594179770784</v>
      </c>
      <c r="J28" s="32">
        <f>-J21*0.055</f>
        <v>-118.84471318001228</v>
      </c>
      <c r="K28" s="32">
        <f>-K21*0.055</f>
        <v>-125.97539597081303</v>
      </c>
      <c r="L28" s="32">
        <f>-L21*0.055</f>
        <v>-132.90404274920772</v>
      </c>
      <c r="M28" s="32">
        <f>-M21*0.055</f>
        <v>-139.54924488666811</v>
      </c>
      <c r="N28" s="32">
        <f t="shared" ref="N28:U28" si="5">-N21*0.05</f>
        <v>-132.57178264233468</v>
      </c>
      <c r="O28" s="32">
        <f t="shared" si="5"/>
        <v>-137.87465394802808</v>
      </c>
      <c r="P28" s="32">
        <f t="shared" si="5"/>
        <v>-143.38964010594921</v>
      </c>
      <c r="Q28" s="32">
        <f t="shared" si="5"/>
        <v>-148.40827750965741</v>
      </c>
      <c r="R28" s="32">
        <f t="shared" si="5"/>
        <v>-153.60256722249542</v>
      </c>
      <c r="S28" s="32">
        <f t="shared" si="5"/>
        <v>-158.21064423917028</v>
      </c>
      <c r="T28" s="32">
        <f t="shared" si="5"/>
        <v>-162.95696356634539</v>
      </c>
      <c r="U28" s="32">
        <f t="shared" si="5"/>
        <v>-167.84567247333575</v>
      </c>
    </row>
    <row r="29" spans="1:22" x14ac:dyDescent="0.35">
      <c r="A29" s="6" t="s">
        <v>68</v>
      </c>
      <c r="B29" s="32">
        <f>-B21*0.01</f>
        <v>-10.24</v>
      </c>
      <c r="C29" s="32">
        <f>-C21*0.01</f>
        <v>-11.468800000000002</v>
      </c>
      <c r="D29" s="32">
        <f>-D21*0.008</f>
        <v>-10.459545600000002</v>
      </c>
      <c r="E29" s="32">
        <f t="shared" ref="E29:U29" si="6">-E21*0.005</f>
        <v>-7.3216819200000023</v>
      </c>
      <c r="F29" s="32">
        <f t="shared" si="6"/>
        <v>-8.0538501120000028</v>
      </c>
      <c r="G29" s="32">
        <f t="shared" si="6"/>
        <v>-8.7786966220800036</v>
      </c>
      <c r="H29" s="32">
        <f t="shared" si="6"/>
        <v>-9.480992351846405</v>
      </c>
      <c r="I29" s="32">
        <f t="shared" si="6"/>
        <v>-10.144661816475654</v>
      </c>
      <c r="J29" s="32">
        <f t="shared" si="6"/>
        <v>-10.804064834546571</v>
      </c>
      <c r="K29" s="32">
        <f t="shared" si="6"/>
        <v>-11.452308724619366</v>
      </c>
      <c r="L29" s="32">
        <f t="shared" si="6"/>
        <v>-12.08218570447343</v>
      </c>
      <c r="M29" s="32">
        <f t="shared" si="6"/>
        <v>-12.686294989697101</v>
      </c>
      <c r="N29" s="32">
        <f t="shared" si="6"/>
        <v>-13.257178264233469</v>
      </c>
      <c r="O29" s="32">
        <f t="shared" si="6"/>
        <v>-13.787465394802808</v>
      </c>
      <c r="P29" s="32">
        <f t="shared" si="6"/>
        <v>-14.338964010594921</v>
      </c>
      <c r="Q29" s="32">
        <f t="shared" si="6"/>
        <v>-14.840827750965742</v>
      </c>
      <c r="R29" s="32">
        <f t="shared" si="6"/>
        <v>-15.360256722249542</v>
      </c>
      <c r="S29" s="32">
        <f t="shared" si="6"/>
        <v>-15.821064423917027</v>
      </c>
      <c r="T29" s="32">
        <f t="shared" si="6"/>
        <v>-16.29569635663454</v>
      </c>
      <c r="U29" s="32">
        <f t="shared" si="6"/>
        <v>-16.784567247333577</v>
      </c>
    </row>
    <row r="31" spans="1:22" x14ac:dyDescent="0.35">
      <c r="A31" s="12" t="s">
        <v>69</v>
      </c>
      <c r="B31" s="16">
        <f t="shared" ref="B31:U31" si="7">B26+B27+B28+B29</f>
        <v>-54.784000000000013</v>
      </c>
      <c r="C31" s="16">
        <f t="shared" si="7"/>
        <v>-11.468800000000002</v>
      </c>
      <c r="D31" s="16">
        <f t="shared" si="7"/>
        <v>52.951449600000004</v>
      </c>
      <c r="E31" s="16">
        <f t="shared" si="7"/>
        <v>127.03118131200006</v>
      </c>
      <c r="F31" s="16">
        <f t="shared" si="7"/>
        <v>176.3793174528</v>
      </c>
      <c r="G31" s="16">
        <f t="shared" si="7"/>
        <v>215.95593690316809</v>
      </c>
      <c r="H31" s="16">
        <f t="shared" si="7"/>
        <v>258.83109120540684</v>
      </c>
      <c r="I31" s="16">
        <f t="shared" si="7"/>
        <v>285.57223013378967</v>
      </c>
      <c r="J31" s="16">
        <f t="shared" si="7"/>
        <v>324.12194503639716</v>
      </c>
      <c r="K31" s="16">
        <f t="shared" si="7"/>
        <v>343.56926173858096</v>
      </c>
      <c r="L31" s="16">
        <f t="shared" si="7"/>
        <v>372.73542898300525</v>
      </c>
      <c r="M31" s="16">
        <f t="shared" si="7"/>
        <v>402.15555117339807</v>
      </c>
      <c r="N31" s="16">
        <f t="shared" si="7"/>
        <v>433.50972924043441</v>
      </c>
      <c r="O31" s="16">
        <f t="shared" si="7"/>
        <v>462.56946399563412</v>
      </c>
      <c r="P31" s="16">
        <f t="shared" si="7"/>
        <v>481.0722425554597</v>
      </c>
      <c r="Q31" s="16">
        <f t="shared" si="7"/>
        <v>510.52447463322147</v>
      </c>
      <c r="R31" s="16">
        <f t="shared" si="7"/>
        <v>528.39283124538429</v>
      </c>
      <c r="S31" s="16">
        <f t="shared" si="7"/>
        <v>544.24461618274563</v>
      </c>
      <c r="T31" s="16">
        <f t="shared" si="7"/>
        <v>560.57195466822827</v>
      </c>
      <c r="U31" s="16">
        <f t="shared" si="7"/>
        <v>577.389113308275</v>
      </c>
    </row>
    <row r="32" spans="1:22" x14ac:dyDescent="0.35">
      <c r="A32" s="19" t="s">
        <v>21</v>
      </c>
      <c r="B32" s="10">
        <f t="shared" ref="B32:U32" si="8">B31/B21</f>
        <v>-5.3500000000000013E-2</v>
      </c>
      <c r="C32" s="10">
        <f t="shared" si="8"/>
        <v>-0.01</v>
      </c>
      <c r="D32" s="10">
        <f t="shared" si="8"/>
        <v>4.0500000000000001E-2</v>
      </c>
      <c r="E32" s="10">
        <f t="shared" si="8"/>
        <v>8.6750000000000022E-2</v>
      </c>
      <c r="F32" s="10">
        <f t="shared" si="8"/>
        <v>0.10949999999999996</v>
      </c>
      <c r="G32" s="10">
        <f t="shared" si="8"/>
        <v>0.123</v>
      </c>
      <c r="H32" s="10">
        <f t="shared" si="8"/>
        <v>0.13650000000000001</v>
      </c>
      <c r="I32" s="10">
        <f t="shared" si="8"/>
        <v>0.14075000000000001</v>
      </c>
      <c r="J32" s="10">
        <f t="shared" si="8"/>
        <v>0.15000000000000002</v>
      </c>
      <c r="K32" s="10">
        <f t="shared" si="8"/>
        <v>0.15</v>
      </c>
      <c r="L32" s="10">
        <f t="shared" si="8"/>
        <v>0.15424999999999997</v>
      </c>
      <c r="M32" s="10">
        <f t="shared" si="8"/>
        <v>0.15849999999999997</v>
      </c>
      <c r="N32" s="10">
        <f t="shared" si="8"/>
        <v>0.16350000000000001</v>
      </c>
      <c r="O32" s="10">
        <f t="shared" si="8"/>
        <v>0.16774999999999998</v>
      </c>
      <c r="P32" s="10">
        <f t="shared" si="8"/>
        <v>0.16775000000000004</v>
      </c>
      <c r="Q32" s="10">
        <f t="shared" si="8"/>
        <v>0.17199999999999999</v>
      </c>
      <c r="R32" s="10">
        <f t="shared" si="8"/>
        <v>0.17200000000000001</v>
      </c>
      <c r="S32" s="10">
        <f t="shared" si="8"/>
        <v>0.17199999999999996</v>
      </c>
      <c r="T32" s="10">
        <f t="shared" si="8"/>
        <v>0.17200000000000004</v>
      </c>
      <c r="U32" s="10">
        <f t="shared" si="8"/>
        <v>0.17200000000000001</v>
      </c>
    </row>
    <row r="35" spans="1:22" x14ac:dyDescent="0.35">
      <c r="A35" t="s">
        <v>70</v>
      </c>
      <c r="B35" s="33">
        <f>1/(1+$B$5)^1</f>
        <v>0.89285714285714279</v>
      </c>
      <c r="C35" s="33">
        <f>1/(1+$B$5)^2</f>
        <v>0.79719387755102034</v>
      </c>
      <c r="D35" s="33">
        <f>1/(1+$B$5)^3</f>
        <v>0.71178024781341087</v>
      </c>
      <c r="E35" s="33">
        <f>1/(1+$B$5)^4</f>
        <v>0.63551807840483121</v>
      </c>
      <c r="F35" s="33">
        <f>1/(1+$B$5)^5</f>
        <v>0.56742685571859919</v>
      </c>
      <c r="G35" s="33">
        <f>1/(1+$B$5)^6</f>
        <v>0.50663112117732068</v>
      </c>
      <c r="H35" s="33">
        <f>1/(1+$B$5)^7</f>
        <v>0.45234921533689343</v>
      </c>
      <c r="I35" s="33">
        <f>1/(1+$B$5)^8</f>
        <v>0.4038832279793691</v>
      </c>
      <c r="J35" s="33">
        <f>1/(1+$B$5)^9</f>
        <v>0.36061002498157957</v>
      </c>
      <c r="K35" s="33">
        <f>1/(1+$B$5)^10</f>
        <v>0.32197323659069599</v>
      </c>
      <c r="L35" s="33">
        <f>1/(1+$B$5)^11</f>
        <v>0.28747610409883567</v>
      </c>
      <c r="M35" s="33">
        <f>1/(1+$B$5)^12</f>
        <v>0.25667509294538904</v>
      </c>
      <c r="N35" s="33">
        <f>1/(1+$B$5)^13</f>
        <v>0.22917419012981158</v>
      </c>
      <c r="O35" s="33">
        <f>1/(1+$B$5)^14</f>
        <v>0.20461981261590317</v>
      </c>
      <c r="P35" s="33">
        <f>1/(1+$B$5)^15</f>
        <v>0.18269626126419927</v>
      </c>
      <c r="Q35" s="33">
        <f>1/(1+$B$5)^16</f>
        <v>0.16312166184303503</v>
      </c>
      <c r="R35" s="33">
        <f>1/(1+$B$5)^17</f>
        <v>0.14564434093128129</v>
      </c>
      <c r="S35" s="33">
        <f>1/(1+$B$5)^18</f>
        <v>0.13003959011721541</v>
      </c>
      <c r="T35" s="33">
        <f>1/(1+$B$5)^19</f>
        <v>0.1161067768903709</v>
      </c>
      <c r="U35" s="33">
        <f>1/(1+$B$5)^20</f>
        <v>0.1036667650806883</v>
      </c>
      <c r="V35" s="33">
        <f>1/(1+$B$5)^20</f>
        <v>0.1036667650806883</v>
      </c>
    </row>
    <row r="36" spans="1:22" x14ac:dyDescent="0.35">
      <c r="A36" s="12" t="s">
        <v>71</v>
      </c>
      <c r="B36" s="16">
        <f t="shared" ref="B36:U36" si="9">B31*B35</f>
        <v>-48.914285714285725</v>
      </c>
      <c r="C36" s="16">
        <f t="shared" si="9"/>
        <v>-9.1428571428571441</v>
      </c>
      <c r="D36" s="16">
        <f t="shared" si="9"/>
        <v>37.689795918367338</v>
      </c>
      <c r="E36" s="16">
        <f t="shared" si="9"/>
        <v>80.730612244897983</v>
      </c>
      <c r="F36" s="16">
        <f t="shared" si="9"/>
        <v>100.08236151603495</v>
      </c>
      <c r="G36" s="16">
        <f t="shared" si="9"/>
        <v>109.40999843815078</v>
      </c>
      <c r="H36" s="16">
        <f t="shared" si="9"/>
        <v>117.08204101155768</v>
      </c>
      <c r="I36" s="16">
        <f t="shared" si="9"/>
        <v>115.33783412770224</v>
      </c>
      <c r="J36" s="16">
        <f t="shared" si="9"/>
        <v>116.88162269665334</v>
      </c>
      <c r="K36" s="16">
        <f t="shared" si="9"/>
        <v>110.62010719504688</v>
      </c>
      <c r="L36" s="16">
        <f t="shared" si="9"/>
        <v>107.15252898364258</v>
      </c>
      <c r="M36" s="16">
        <f t="shared" si="9"/>
        <v>103.22331347593611</v>
      </c>
      <c r="N36" s="16">
        <f t="shared" si="9"/>
        <v>99.349241112070459</v>
      </c>
      <c r="O36" s="16">
        <f t="shared" si="9"/>
        <v>94.650877044625418</v>
      </c>
      <c r="P36" s="16">
        <f t="shared" si="9"/>
        <v>87.890100112866506</v>
      </c>
      <c r="Q36" s="16">
        <f t="shared" si="9"/>
        <v>83.277600713713468</v>
      </c>
      <c r="R36" s="16">
        <f t="shared" si="9"/>
        <v>76.957425659547724</v>
      </c>
      <c r="S36" s="16">
        <f t="shared" si="9"/>
        <v>70.773346811905469</v>
      </c>
      <c r="T36" s="16">
        <f t="shared" si="9"/>
        <v>65.08620287166309</v>
      </c>
      <c r="U36" s="16">
        <f t="shared" si="9"/>
        <v>59.856061569475862</v>
      </c>
    </row>
    <row r="38" spans="1:22" x14ac:dyDescent="0.35">
      <c r="A38" s="2" t="s">
        <v>72</v>
      </c>
      <c r="B38" s="25"/>
    </row>
    <row r="39" spans="1:22" x14ac:dyDescent="0.35">
      <c r="A39" s="6" t="s">
        <v>73</v>
      </c>
      <c r="B39" s="14">
        <f>SUM(B36:U36)</f>
        <v>1577.9939286467152</v>
      </c>
    </row>
    <row r="41" spans="1:22" x14ac:dyDescent="0.35">
      <c r="A41" s="34" t="s">
        <v>74</v>
      </c>
    </row>
    <row r="42" spans="1:22" x14ac:dyDescent="0.35">
      <c r="A42" t="s">
        <v>75</v>
      </c>
      <c r="B42" s="13">
        <f>U31</f>
        <v>577.389113308275</v>
      </c>
    </row>
    <row r="43" spans="1:22" x14ac:dyDescent="0.35">
      <c r="A43" t="s">
        <v>76</v>
      </c>
      <c r="B43" s="13">
        <f>U31*(1+$B$6)/($B$5-$B$6)</f>
        <v>6607.897630083593</v>
      </c>
    </row>
    <row r="44" spans="1:22" x14ac:dyDescent="0.35">
      <c r="A44" t="s">
        <v>77</v>
      </c>
      <c r="B44" s="13">
        <f>B43*V35</f>
        <v>685.01937129511282</v>
      </c>
    </row>
    <row r="46" spans="1:22" ht="16" x14ac:dyDescent="0.4">
      <c r="A46" s="36" t="s">
        <v>78</v>
      </c>
      <c r="B46" s="37">
        <f>B39+B44</f>
        <v>2263.0132999418279</v>
      </c>
    </row>
    <row r="47" spans="1:22" x14ac:dyDescent="0.35">
      <c r="A47" s="6" t="s">
        <v>79</v>
      </c>
      <c r="B47" s="14">
        <f>B11</f>
        <v>500</v>
      </c>
    </row>
    <row r="48" spans="1:22" ht="16" x14ac:dyDescent="0.4">
      <c r="A48" s="38" t="s">
        <v>80</v>
      </c>
      <c r="B48" s="39">
        <f>B46+B47</f>
        <v>2763.0132999418279</v>
      </c>
    </row>
    <row r="50" spans="1:8" ht="16" x14ac:dyDescent="0.4">
      <c r="A50" s="35" t="s">
        <v>81</v>
      </c>
      <c r="B50" s="40">
        <f>B48*1000/(B9/8)</f>
        <v>9610.4810432759241</v>
      </c>
    </row>
    <row r="51" spans="1:8" ht="18.5" x14ac:dyDescent="0.45">
      <c r="A51" s="41" t="s">
        <v>82</v>
      </c>
      <c r="B51" s="42">
        <f>B50/B8</f>
        <v>1388.7978386236884</v>
      </c>
    </row>
    <row r="52" spans="1:8" x14ac:dyDescent="0.35">
      <c r="A52" s="6" t="s">
        <v>83</v>
      </c>
      <c r="B52" s="43">
        <f>B12</f>
        <v>163</v>
      </c>
    </row>
    <row r="53" spans="1:8" ht="16" x14ac:dyDescent="0.4">
      <c r="A53" s="36" t="s">
        <v>84</v>
      </c>
      <c r="B53" s="44">
        <f>(B51-B52)/B52</f>
        <v>7.5202321387956346</v>
      </c>
    </row>
    <row r="55" spans="1:8" x14ac:dyDescent="0.35">
      <c r="A55" s="2" t="s">
        <v>85</v>
      </c>
      <c r="B55" s="25"/>
      <c r="C55" s="25"/>
      <c r="D55" s="25"/>
      <c r="E55" s="25"/>
      <c r="F55" s="25"/>
      <c r="G55" s="25"/>
      <c r="H55" s="25"/>
    </row>
    <row r="56" spans="1:8" x14ac:dyDescent="0.35">
      <c r="A56" s="31" t="s">
        <v>86</v>
      </c>
      <c r="B56" s="45">
        <v>1.4999999999999999E-2</v>
      </c>
      <c r="C56" s="45">
        <v>0.02</v>
      </c>
      <c r="D56" s="45">
        <v>2.5000000000000001E-2</v>
      </c>
      <c r="E56" s="45">
        <v>0.03</v>
      </c>
      <c r="F56" s="45">
        <v>3.5000000000000003E-2</v>
      </c>
      <c r="G56" s="45">
        <v>0.04</v>
      </c>
      <c r="H56" s="45">
        <v>4.4999999999999998E-2</v>
      </c>
    </row>
    <row r="57" spans="1:8" x14ac:dyDescent="0.35">
      <c r="A57" s="46">
        <v>0.09</v>
      </c>
      <c r="B57" s="48">
        <v>2043</v>
      </c>
      <c r="C57" s="48">
        <v>2097</v>
      </c>
      <c r="D57" s="48">
        <v>2159</v>
      </c>
      <c r="E57" s="48">
        <v>2232</v>
      </c>
      <c r="F57" s="48">
        <v>2317</v>
      </c>
      <c r="G57" s="48">
        <v>2420</v>
      </c>
      <c r="H57" s="48">
        <v>2545</v>
      </c>
    </row>
    <row r="58" spans="1:8" x14ac:dyDescent="0.35">
      <c r="A58" s="46">
        <v>0.1</v>
      </c>
      <c r="B58" s="48">
        <v>1745</v>
      </c>
      <c r="C58" s="48">
        <v>1780</v>
      </c>
      <c r="D58" s="48">
        <v>1820</v>
      </c>
      <c r="E58" s="48">
        <v>1865</v>
      </c>
      <c r="F58" s="48">
        <v>1917</v>
      </c>
      <c r="G58" s="48">
        <v>1978</v>
      </c>
      <c r="H58" s="48">
        <v>2050</v>
      </c>
    </row>
    <row r="59" spans="1:8" x14ac:dyDescent="0.35">
      <c r="A59" s="46">
        <v>0.11</v>
      </c>
      <c r="B59" s="48">
        <v>1516</v>
      </c>
      <c r="C59" s="48">
        <v>1539</v>
      </c>
      <c r="D59" s="48">
        <v>1565</v>
      </c>
      <c r="E59" s="48">
        <v>1595</v>
      </c>
      <c r="F59" s="48">
        <v>1628</v>
      </c>
      <c r="G59" s="48">
        <v>1666</v>
      </c>
      <c r="H59" s="48">
        <v>1710</v>
      </c>
    </row>
    <row r="60" spans="1:8" x14ac:dyDescent="0.35">
      <c r="A60" s="46">
        <v>0.12</v>
      </c>
      <c r="B60" s="48">
        <v>1335</v>
      </c>
      <c r="C60" s="48">
        <v>1351</v>
      </c>
      <c r="D60" s="48">
        <v>1369</v>
      </c>
      <c r="E60" s="50">
        <v>1389</v>
      </c>
      <c r="F60" s="48">
        <v>1411</v>
      </c>
      <c r="G60" s="48">
        <v>1436</v>
      </c>
      <c r="H60" s="48">
        <v>1464</v>
      </c>
    </row>
    <row r="61" spans="1:8" x14ac:dyDescent="0.35">
      <c r="A61" s="46">
        <v>0.13</v>
      </c>
      <c r="B61" s="48">
        <v>1190</v>
      </c>
      <c r="C61" s="48">
        <v>1202</v>
      </c>
      <c r="D61" s="48">
        <v>1214</v>
      </c>
      <c r="E61" s="48">
        <v>1227</v>
      </c>
      <c r="F61" s="48">
        <v>1242</v>
      </c>
      <c r="G61" s="48">
        <v>1259</v>
      </c>
      <c r="H61" s="48">
        <v>1278</v>
      </c>
    </row>
    <row r="62" spans="1:8" x14ac:dyDescent="0.35">
      <c r="A62" s="46">
        <v>0.14000000000000001</v>
      </c>
      <c r="B62" s="48">
        <v>1072</v>
      </c>
      <c r="C62" s="48">
        <v>1080</v>
      </c>
      <c r="D62" s="48">
        <v>1089</v>
      </c>
      <c r="E62" s="48">
        <v>1098</v>
      </c>
      <c r="F62" s="48">
        <v>1109</v>
      </c>
      <c r="G62" s="48">
        <v>1120</v>
      </c>
      <c r="H62" s="48">
        <v>1133</v>
      </c>
    </row>
    <row r="63" spans="1:8" x14ac:dyDescent="0.35">
      <c r="A63" s="46">
        <v>0.15</v>
      </c>
      <c r="B63" s="48">
        <v>974</v>
      </c>
      <c r="C63" s="48">
        <v>980</v>
      </c>
      <c r="D63" s="48">
        <v>986</v>
      </c>
      <c r="E63" s="48">
        <v>993</v>
      </c>
      <c r="F63" s="48">
        <v>1000</v>
      </c>
      <c r="G63" s="48">
        <v>1008</v>
      </c>
      <c r="H63" s="48">
        <v>1017</v>
      </c>
    </row>
    <row r="64" spans="1:8" x14ac:dyDescent="0.35">
      <c r="A64" s="46">
        <v>0.16</v>
      </c>
      <c r="B64" s="48">
        <v>892</v>
      </c>
      <c r="C64" s="48">
        <v>896</v>
      </c>
      <c r="D64" s="48">
        <v>901</v>
      </c>
      <c r="E64" s="48">
        <v>906</v>
      </c>
      <c r="F64" s="48">
        <v>911</v>
      </c>
      <c r="G64" s="48">
        <v>917</v>
      </c>
      <c r="H64" s="48">
        <v>923</v>
      </c>
    </row>
    <row r="65" spans="1:8" x14ac:dyDescent="0.35">
      <c r="A65" s="46">
        <v>0.18</v>
      </c>
      <c r="B65" s="48">
        <v>763</v>
      </c>
      <c r="C65" s="48">
        <v>765</v>
      </c>
      <c r="D65" s="48">
        <v>768</v>
      </c>
      <c r="E65" s="48">
        <v>771</v>
      </c>
      <c r="F65" s="48">
        <v>774</v>
      </c>
      <c r="G65" s="48">
        <v>777</v>
      </c>
      <c r="H65" s="48">
        <v>780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2CB2-108E-4AF5-80E8-6DD43D4A9EBB}">
  <dimension ref="A1:I27"/>
  <sheetViews>
    <sheetView workbookViewId="0"/>
  </sheetViews>
  <sheetFormatPr defaultRowHeight="14.5" x14ac:dyDescent="0.35"/>
  <cols>
    <col min="1" max="1" width="38.1796875" customWidth="1"/>
  </cols>
  <sheetData>
    <row r="1" spans="1:9" ht="18.5" x14ac:dyDescent="0.45">
      <c r="A1" s="23" t="s">
        <v>188</v>
      </c>
    </row>
    <row r="2" spans="1:9" x14ac:dyDescent="0.35">
      <c r="A2" s="24" t="s">
        <v>189</v>
      </c>
    </row>
    <row r="4" spans="1:9" x14ac:dyDescent="0.35">
      <c r="A4" s="2" t="s">
        <v>190</v>
      </c>
      <c r="B4" s="3" t="s">
        <v>191</v>
      </c>
      <c r="C4" s="4" t="s">
        <v>192</v>
      </c>
      <c r="D4" s="4" t="s">
        <v>193</v>
      </c>
      <c r="E4" s="4" t="s">
        <v>194</v>
      </c>
      <c r="F4" s="4" t="s">
        <v>195</v>
      </c>
      <c r="G4" s="4" t="s">
        <v>196</v>
      </c>
      <c r="H4" s="4" t="s">
        <v>197</v>
      </c>
      <c r="I4" s="4" t="s">
        <v>198</v>
      </c>
    </row>
    <row r="6" spans="1:9" x14ac:dyDescent="0.35">
      <c r="A6" s="6" t="s">
        <v>199</v>
      </c>
      <c r="B6" s="7">
        <v>322</v>
      </c>
      <c r="C6" s="7">
        <v>341</v>
      </c>
      <c r="D6" s="7">
        <v>368</v>
      </c>
      <c r="E6" s="7">
        <v>394</v>
      </c>
      <c r="F6" s="7">
        <v>419</v>
      </c>
      <c r="G6" s="7">
        <v>441</v>
      </c>
      <c r="H6" s="7">
        <v>530</v>
      </c>
      <c r="I6" s="7">
        <v>680</v>
      </c>
    </row>
    <row r="7" spans="1:9" x14ac:dyDescent="0.35">
      <c r="A7" s="9" t="s">
        <v>14</v>
      </c>
      <c r="C7" s="10">
        <v>0.06</v>
      </c>
      <c r="D7" s="10">
        <v>0.08</v>
      </c>
      <c r="E7" s="10">
        <v>7.0000000000000007E-2</v>
      </c>
      <c r="F7" s="10">
        <v>6.5000000000000002E-2</v>
      </c>
      <c r="G7" s="10">
        <v>0.05</v>
      </c>
      <c r="H7" s="10">
        <v>3.5000000000000003E-2</v>
      </c>
      <c r="I7" s="10">
        <v>2.5000000000000001E-2</v>
      </c>
    </row>
    <row r="9" spans="1:9" x14ac:dyDescent="0.35">
      <c r="A9" s="6" t="s">
        <v>200</v>
      </c>
      <c r="B9" s="7">
        <v>85</v>
      </c>
      <c r="C9" s="7">
        <v>118</v>
      </c>
      <c r="D9" s="7">
        <v>159</v>
      </c>
      <c r="E9" s="7">
        <v>199</v>
      </c>
      <c r="F9" s="7">
        <v>239</v>
      </c>
      <c r="G9" s="7">
        <v>273</v>
      </c>
      <c r="H9" s="7">
        <v>380</v>
      </c>
      <c r="I9" s="7">
        <v>500</v>
      </c>
    </row>
    <row r="10" spans="1:9" x14ac:dyDescent="0.35">
      <c r="A10" s="9" t="s">
        <v>14</v>
      </c>
      <c r="C10" s="10">
        <v>0.4</v>
      </c>
      <c r="D10" s="10">
        <v>0.35</v>
      </c>
      <c r="E10" s="10">
        <v>0.25</v>
      </c>
      <c r="F10" s="10">
        <v>0.2</v>
      </c>
      <c r="G10" s="10">
        <v>0.14000000000000001</v>
      </c>
      <c r="H10" s="10">
        <v>7.0000000000000007E-2</v>
      </c>
      <c r="I10" s="10">
        <v>0.03</v>
      </c>
    </row>
    <row r="12" spans="1:9" x14ac:dyDescent="0.35">
      <c r="A12" s="12" t="s">
        <v>201</v>
      </c>
      <c r="B12" s="58">
        <v>122</v>
      </c>
      <c r="C12" s="58">
        <v>165</v>
      </c>
      <c r="D12" s="58">
        <v>215</v>
      </c>
      <c r="E12" s="58">
        <v>269</v>
      </c>
      <c r="F12" s="58">
        <v>322</v>
      </c>
      <c r="G12" s="58">
        <v>374</v>
      </c>
      <c r="H12" s="58">
        <v>680</v>
      </c>
      <c r="I12" s="58">
        <v>1300</v>
      </c>
    </row>
    <row r="13" spans="1:9" x14ac:dyDescent="0.35">
      <c r="A13" s="9" t="s">
        <v>14</v>
      </c>
      <c r="C13" s="59">
        <v>0.35</v>
      </c>
      <c r="D13" s="59">
        <v>0.3</v>
      </c>
      <c r="E13" s="60">
        <v>0.25</v>
      </c>
      <c r="F13" s="60">
        <v>0.2</v>
      </c>
      <c r="G13" s="60">
        <v>0.16</v>
      </c>
      <c r="H13" s="60">
        <v>0.1</v>
      </c>
      <c r="I13" s="60">
        <v>0.06</v>
      </c>
    </row>
    <row r="14" spans="1:9" x14ac:dyDescent="0.35">
      <c r="A14" s="9" t="s">
        <v>202</v>
      </c>
      <c r="B14" s="61">
        <v>0.2</v>
      </c>
      <c r="C14" s="61">
        <v>0.3</v>
      </c>
      <c r="D14" s="61">
        <v>0.4</v>
      </c>
      <c r="E14" s="61">
        <v>0.48</v>
      </c>
      <c r="F14" s="61">
        <v>0.55000000000000004</v>
      </c>
      <c r="G14" s="61">
        <v>0.6</v>
      </c>
      <c r="H14" s="61">
        <v>0.7</v>
      </c>
      <c r="I14" s="61">
        <v>0.8</v>
      </c>
    </row>
    <row r="16" spans="1:9" x14ac:dyDescent="0.35">
      <c r="A16" s="6" t="s">
        <v>203</v>
      </c>
      <c r="B16" s="7">
        <v>136</v>
      </c>
      <c r="C16" s="7">
        <v>150</v>
      </c>
      <c r="D16" s="7">
        <v>168</v>
      </c>
      <c r="E16" s="7">
        <v>185</v>
      </c>
      <c r="F16" s="7">
        <v>200</v>
      </c>
      <c r="G16" s="7">
        <v>214</v>
      </c>
      <c r="H16" s="7">
        <v>280</v>
      </c>
      <c r="I16" s="7">
        <v>380</v>
      </c>
    </row>
    <row r="17" spans="1:9" x14ac:dyDescent="0.35">
      <c r="A17" s="9" t="s">
        <v>14</v>
      </c>
      <c r="C17" s="10">
        <v>0.1</v>
      </c>
      <c r="D17" s="10">
        <v>0.12</v>
      </c>
      <c r="E17" s="10">
        <v>0.1</v>
      </c>
      <c r="F17" s="10">
        <v>0.08</v>
      </c>
      <c r="G17" s="10">
        <v>7.0000000000000007E-2</v>
      </c>
      <c r="H17" s="10">
        <v>0.05</v>
      </c>
      <c r="I17" s="10">
        <v>0.03</v>
      </c>
    </row>
    <row r="19" spans="1:9" x14ac:dyDescent="0.35">
      <c r="A19" s="6" t="s">
        <v>204</v>
      </c>
      <c r="B19" s="7">
        <v>331</v>
      </c>
      <c r="C19" s="7">
        <v>250</v>
      </c>
      <c r="D19" s="7">
        <v>237</v>
      </c>
      <c r="E19" s="7">
        <v>242</v>
      </c>
      <c r="F19" s="7">
        <v>250</v>
      </c>
      <c r="G19" s="7">
        <v>260</v>
      </c>
      <c r="H19" s="7">
        <v>290</v>
      </c>
      <c r="I19" s="7">
        <v>320</v>
      </c>
    </row>
    <row r="21" spans="1:9" x14ac:dyDescent="0.35">
      <c r="A21" s="12" t="s">
        <v>205</v>
      </c>
      <c r="B21" s="15">
        <f t="shared" ref="B21:I21" si="0">B6+B9+B12+B16+B19</f>
        <v>996</v>
      </c>
      <c r="C21" s="15">
        <f t="shared" si="0"/>
        <v>1024</v>
      </c>
      <c r="D21" s="15">
        <f t="shared" si="0"/>
        <v>1147</v>
      </c>
      <c r="E21" s="15">
        <f t="shared" si="0"/>
        <v>1289</v>
      </c>
      <c r="F21" s="15">
        <f t="shared" si="0"/>
        <v>1430</v>
      </c>
      <c r="G21" s="15">
        <f t="shared" si="0"/>
        <v>1562</v>
      </c>
      <c r="H21" s="15">
        <f t="shared" si="0"/>
        <v>2160</v>
      </c>
      <c r="I21" s="15">
        <f t="shared" si="0"/>
        <v>3180</v>
      </c>
    </row>
    <row r="22" spans="1:9" x14ac:dyDescent="0.35">
      <c r="A22" s="9" t="s">
        <v>14</v>
      </c>
      <c r="C22" s="64">
        <f t="shared" ref="C22:I22" si="1">(C21-B21)/B21</f>
        <v>2.8112449799196786E-2</v>
      </c>
      <c r="D22" s="64">
        <f t="shared" si="1"/>
        <v>0.1201171875</v>
      </c>
      <c r="E22" s="64">
        <f t="shared" si="1"/>
        <v>0.12380122057541412</v>
      </c>
      <c r="F22" s="64">
        <f t="shared" si="1"/>
        <v>0.10938712179984485</v>
      </c>
      <c r="G22" s="64">
        <f t="shared" si="1"/>
        <v>9.2307692307692313E-2</v>
      </c>
      <c r="H22" s="64">
        <f t="shared" si="1"/>
        <v>0.38284250960307298</v>
      </c>
      <c r="I22" s="64">
        <f t="shared" si="1"/>
        <v>0.47222222222222221</v>
      </c>
    </row>
    <row r="24" spans="1:9" x14ac:dyDescent="0.35">
      <c r="A24" s="57" t="s">
        <v>206</v>
      </c>
      <c r="B24" s="59">
        <f t="shared" ref="B24:I24" si="2">B12/B21</f>
        <v>0.12248995983935743</v>
      </c>
      <c r="C24" s="59">
        <f t="shared" si="2"/>
        <v>0.1611328125</v>
      </c>
      <c r="D24" s="59">
        <f t="shared" si="2"/>
        <v>0.1874455100261552</v>
      </c>
      <c r="E24" s="59">
        <f t="shared" si="2"/>
        <v>0.20868890612878199</v>
      </c>
      <c r="F24" s="59">
        <f t="shared" si="2"/>
        <v>0.22517482517482518</v>
      </c>
      <c r="G24" s="59">
        <f t="shared" si="2"/>
        <v>0.23943661971830985</v>
      </c>
      <c r="H24" s="59">
        <f t="shared" si="2"/>
        <v>0.31481481481481483</v>
      </c>
      <c r="I24" s="59">
        <f t="shared" si="2"/>
        <v>0.4088050314465409</v>
      </c>
    </row>
    <row r="26" spans="1:9" x14ac:dyDescent="0.35">
      <c r="A26" s="63" t="s">
        <v>207</v>
      </c>
    </row>
    <row r="27" spans="1:9" x14ac:dyDescent="0.35">
      <c r="A27" s="9" t="s">
        <v>208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CA06-F06C-4F90-B85F-E878A94A3D2A}">
  <dimension ref="A1:L22"/>
  <sheetViews>
    <sheetView topLeftCell="A2" workbookViewId="0">
      <pane xSplit="1" topLeftCell="B1" activePane="topRight" state="frozen"/>
      <selection pane="topRight" activeCell="I37" sqref="I36:I37"/>
    </sheetView>
  </sheetViews>
  <sheetFormatPr defaultRowHeight="14.5" x14ac:dyDescent="0.35"/>
  <cols>
    <col min="1" max="1" width="34.26953125" customWidth="1"/>
  </cols>
  <sheetData>
    <row r="1" spans="1:12" ht="18.5" x14ac:dyDescent="0.45">
      <c r="A1" s="1" t="s">
        <v>0</v>
      </c>
    </row>
    <row r="3" spans="1:12" x14ac:dyDescent="0.3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4" t="s">
        <v>12</v>
      </c>
    </row>
    <row r="4" spans="1:12" x14ac:dyDescent="0.35">
      <c r="A4" s="5"/>
    </row>
    <row r="5" spans="1:12" x14ac:dyDescent="0.35">
      <c r="A5" s="6" t="s">
        <v>13</v>
      </c>
      <c r="B5" s="7">
        <v>101.1</v>
      </c>
      <c r="C5" s="7">
        <v>158.30000000000001</v>
      </c>
      <c r="D5" s="7">
        <v>250.3</v>
      </c>
      <c r="E5" s="7">
        <v>376.8</v>
      </c>
      <c r="F5" s="7">
        <v>509.7</v>
      </c>
      <c r="G5" s="7">
        <v>717.3</v>
      </c>
      <c r="H5" s="7">
        <v>853.1</v>
      </c>
      <c r="I5" s="7">
        <v>868.7</v>
      </c>
      <c r="J5" s="7">
        <v>941.2</v>
      </c>
      <c r="K5" s="7">
        <v>996.3</v>
      </c>
      <c r="L5" s="7">
        <v>1024</v>
      </c>
    </row>
    <row r="6" spans="1:12" x14ac:dyDescent="0.35">
      <c r="A6" s="9" t="s">
        <v>14</v>
      </c>
      <c r="C6" s="10">
        <f t="shared" ref="C6:L6" si="0">(C5-B5)/B5</f>
        <v>0.56577645895153339</v>
      </c>
      <c r="D6" s="10">
        <f t="shared" si="0"/>
        <v>0.58117498420720148</v>
      </c>
      <c r="E6" s="10">
        <f t="shared" si="0"/>
        <v>0.50539352776668001</v>
      </c>
      <c r="F6" s="10">
        <f t="shared" si="0"/>
        <v>0.3527070063694267</v>
      </c>
      <c r="G6" s="10">
        <f t="shared" si="0"/>
        <v>0.40729841082989987</v>
      </c>
      <c r="H6" s="10">
        <f t="shared" si="0"/>
        <v>0.18932106510525593</v>
      </c>
      <c r="I6" s="10">
        <f t="shared" si="0"/>
        <v>1.8286250146524467E-2</v>
      </c>
      <c r="J6" s="10">
        <f t="shared" si="0"/>
        <v>8.3458040750546789E-2</v>
      </c>
      <c r="K6" s="10">
        <f t="shared" si="0"/>
        <v>5.8542286442838827E-2</v>
      </c>
      <c r="L6" s="10">
        <f t="shared" si="0"/>
        <v>2.7802870621298853E-2</v>
      </c>
    </row>
    <row r="8" spans="1:12" x14ac:dyDescent="0.35">
      <c r="A8" s="6" t="s">
        <v>15</v>
      </c>
      <c r="B8" s="7">
        <v>42.5</v>
      </c>
      <c r="C8" s="7">
        <v>64.400000000000006</v>
      </c>
      <c r="D8" s="7">
        <v>92.5</v>
      </c>
      <c r="E8" s="7">
        <v>114.3</v>
      </c>
      <c r="F8" s="7">
        <v>137.19999999999999</v>
      </c>
      <c r="G8" s="7">
        <v>196.8</v>
      </c>
      <c r="H8" s="7">
        <v>175</v>
      </c>
      <c r="I8" s="7">
        <v>163.4</v>
      </c>
      <c r="J8" s="7">
        <v>165</v>
      </c>
      <c r="K8" s="7">
        <v>173.1</v>
      </c>
      <c r="L8" s="7">
        <v>102</v>
      </c>
    </row>
    <row r="9" spans="1:12" x14ac:dyDescent="0.35">
      <c r="A9" s="9" t="s">
        <v>16</v>
      </c>
      <c r="B9" s="10">
        <f t="shared" ref="B9:L9" si="1">B8/B5</f>
        <v>0.42037586547972305</v>
      </c>
      <c r="C9" s="10">
        <f t="shared" si="1"/>
        <v>0.40682248894504108</v>
      </c>
      <c r="D9" s="10">
        <f t="shared" si="1"/>
        <v>0.36955653216140627</v>
      </c>
      <c r="E9" s="10">
        <f t="shared" si="1"/>
        <v>0.30334394904458595</v>
      </c>
      <c r="F9" s="10">
        <f t="shared" si="1"/>
        <v>0.2691779478124387</v>
      </c>
      <c r="G9" s="10">
        <f t="shared" si="1"/>
        <v>0.27436219155165203</v>
      </c>
      <c r="H9" s="10">
        <f t="shared" si="1"/>
        <v>0.2051342163872934</v>
      </c>
      <c r="I9" s="10">
        <f t="shared" si="1"/>
        <v>0.18809715667088753</v>
      </c>
      <c r="J9" s="10">
        <f t="shared" si="1"/>
        <v>0.17530811729706758</v>
      </c>
      <c r="K9" s="10">
        <f t="shared" si="1"/>
        <v>0.17374284853959651</v>
      </c>
      <c r="L9" s="10">
        <f t="shared" si="1"/>
        <v>9.9609375E-2</v>
      </c>
    </row>
    <row r="11" spans="1:12" x14ac:dyDescent="0.35">
      <c r="A11" s="6" t="s">
        <v>17</v>
      </c>
      <c r="B11" s="7">
        <v>50.2</v>
      </c>
      <c r="C11" s="7">
        <v>72.8</v>
      </c>
      <c r="D11" s="7">
        <v>106.1</v>
      </c>
      <c r="E11" s="7">
        <v>130</v>
      </c>
      <c r="F11" s="7">
        <v>155</v>
      </c>
      <c r="G11" s="7">
        <v>222.5</v>
      </c>
      <c r="H11" s="7">
        <v>200.9</v>
      </c>
      <c r="I11" s="7">
        <v>187.6</v>
      </c>
      <c r="J11" s="7">
        <v>191.7</v>
      </c>
      <c r="K11" s="7">
        <v>202.3</v>
      </c>
      <c r="L11" s="7">
        <v>135</v>
      </c>
    </row>
    <row r="13" spans="1:12" x14ac:dyDescent="0.35">
      <c r="A13" s="6" t="s">
        <v>18</v>
      </c>
      <c r="B13" s="7">
        <v>54.3</v>
      </c>
      <c r="C13" s="7">
        <v>80.3</v>
      </c>
      <c r="D13" s="7">
        <v>122.5</v>
      </c>
      <c r="E13" s="7">
        <v>148</v>
      </c>
      <c r="F13" s="7">
        <v>187.8</v>
      </c>
      <c r="G13" s="7">
        <v>228.5</v>
      </c>
      <c r="H13" s="7">
        <v>196.2</v>
      </c>
      <c r="I13" s="7">
        <v>193.1</v>
      </c>
      <c r="J13" s="7">
        <v>198.5</v>
      </c>
      <c r="K13" s="7">
        <v>194.3</v>
      </c>
      <c r="L13" s="7">
        <v>150</v>
      </c>
    </row>
    <row r="14" spans="1:12" x14ac:dyDescent="0.35">
      <c r="A14" s="6" t="s">
        <v>19</v>
      </c>
      <c r="B14" s="11">
        <v>-12.6</v>
      </c>
      <c r="C14" s="11">
        <v>-18.899999999999999</v>
      </c>
      <c r="D14" s="11">
        <v>-27.6</v>
      </c>
      <c r="E14" s="11">
        <v>-38.5</v>
      </c>
      <c r="F14" s="11">
        <v>-43.6</v>
      </c>
      <c r="G14" s="11">
        <v>-51.2</v>
      </c>
      <c r="H14" s="11">
        <v>-59.8</v>
      </c>
      <c r="I14" s="11">
        <v>-46.7</v>
      </c>
      <c r="J14" s="11">
        <v>-42.3</v>
      </c>
      <c r="K14" s="11">
        <v>-120.4</v>
      </c>
      <c r="L14" s="11">
        <v>-138</v>
      </c>
    </row>
    <row r="15" spans="1:12" x14ac:dyDescent="0.35">
      <c r="A15" s="12" t="s">
        <v>20</v>
      </c>
      <c r="B15" s="16">
        <f t="shared" ref="B15:J15" si="2">B13+B14</f>
        <v>41.699999999999996</v>
      </c>
      <c r="C15" s="16">
        <f t="shared" si="2"/>
        <v>61.4</v>
      </c>
      <c r="D15" s="16">
        <f t="shared" si="2"/>
        <v>94.9</v>
      </c>
      <c r="E15" s="16">
        <f t="shared" si="2"/>
        <v>109.5</v>
      </c>
      <c r="F15" s="16">
        <f t="shared" si="2"/>
        <v>144.20000000000002</v>
      </c>
      <c r="G15" s="16">
        <f t="shared" si="2"/>
        <v>177.3</v>
      </c>
      <c r="H15" s="16">
        <f t="shared" si="2"/>
        <v>136.39999999999998</v>
      </c>
      <c r="I15" s="16">
        <f t="shared" si="2"/>
        <v>146.39999999999998</v>
      </c>
      <c r="J15" s="16">
        <f t="shared" si="2"/>
        <v>156.19999999999999</v>
      </c>
      <c r="K15" s="18">
        <v>73.900000000000006</v>
      </c>
      <c r="L15" s="16">
        <f>L13+L14</f>
        <v>12</v>
      </c>
    </row>
    <row r="16" spans="1:12" x14ac:dyDescent="0.35">
      <c r="A16" s="19" t="s">
        <v>21</v>
      </c>
      <c r="B16" s="10">
        <f t="shared" ref="B16:L16" si="3">B15/B5</f>
        <v>0.41246290801186941</v>
      </c>
      <c r="C16" s="10">
        <f t="shared" si="3"/>
        <v>0.38787113076437141</v>
      </c>
      <c r="D16" s="10">
        <f t="shared" si="3"/>
        <v>0.37914502596883742</v>
      </c>
      <c r="E16" s="10">
        <f t="shared" si="3"/>
        <v>0.29060509554140129</v>
      </c>
      <c r="F16" s="10">
        <f t="shared" si="3"/>
        <v>0.28291151657837948</v>
      </c>
      <c r="G16" s="10">
        <f t="shared" si="3"/>
        <v>0.24717691342534506</v>
      </c>
      <c r="H16" s="10">
        <f t="shared" si="3"/>
        <v>0.15988746922986752</v>
      </c>
      <c r="I16" s="10">
        <f t="shared" si="3"/>
        <v>0.16852768504662136</v>
      </c>
      <c r="J16" s="10">
        <f t="shared" si="3"/>
        <v>0.16595835104122394</v>
      </c>
      <c r="K16" s="10">
        <f t="shared" si="3"/>
        <v>7.4174445448158197E-2</v>
      </c>
      <c r="L16" s="10">
        <f t="shared" si="3"/>
        <v>1.171875E-2</v>
      </c>
    </row>
    <row r="18" spans="1:12" x14ac:dyDescent="0.35">
      <c r="A18" s="6" t="s">
        <v>22</v>
      </c>
      <c r="B18" s="20">
        <v>2562</v>
      </c>
      <c r="C18" s="20">
        <v>2568</v>
      </c>
      <c r="D18" s="20">
        <v>2604</v>
      </c>
      <c r="E18" s="20">
        <v>2646</v>
      </c>
      <c r="F18" s="20">
        <v>2696</v>
      </c>
      <c r="G18" s="20">
        <v>2730</v>
      </c>
      <c r="H18" s="20">
        <v>2725</v>
      </c>
      <c r="I18" s="20">
        <v>2639</v>
      </c>
      <c r="J18" s="20">
        <v>2545</v>
      </c>
      <c r="K18" s="20">
        <v>2415</v>
      </c>
      <c r="L18" s="20">
        <v>2300</v>
      </c>
    </row>
    <row r="19" spans="1:12" x14ac:dyDescent="0.35">
      <c r="A19" s="9" t="s">
        <v>23</v>
      </c>
      <c r="B19" s="13">
        <f t="shared" ref="B19:L19" si="4">B18/8</f>
        <v>320.25</v>
      </c>
      <c r="C19" s="13">
        <f t="shared" si="4"/>
        <v>321</v>
      </c>
      <c r="D19" s="13">
        <f t="shared" si="4"/>
        <v>325.5</v>
      </c>
      <c r="E19" s="13">
        <f t="shared" si="4"/>
        <v>330.75</v>
      </c>
      <c r="F19" s="13">
        <f t="shared" si="4"/>
        <v>337</v>
      </c>
      <c r="G19" s="13">
        <f t="shared" si="4"/>
        <v>341.25</v>
      </c>
      <c r="H19" s="13">
        <f t="shared" si="4"/>
        <v>340.625</v>
      </c>
      <c r="I19" s="13">
        <f t="shared" si="4"/>
        <v>329.875</v>
      </c>
      <c r="J19" s="13">
        <f t="shared" si="4"/>
        <v>318.125</v>
      </c>
      <c r="K19" s="13">
        <f t="shared" si="4"/>
        <v>301.875</v>
      </c>
      <c r="L19" s="13">
        <f t="shared" si="4"/>
        <v>287.5</v>
      </c>
    </row>
    <row r="21" spans="1:12" x14ac:dyDescent="0.35">
      <c r="A21" s="6" t="s">
        <v>24</v>
      </c>
      <c r="B21" s="7">
        <v>136</v>
      </c>
      <c r="C21" s="7">
        <v>171</v>
      </c>
      <c r="D21" s="7">
        <v>211</v>
      </c>
      <c r="E21" s="7">
        <v>235</v>
      </c>
      <c r="F21" s="7">
        <v>310</v>
      </c>
      <c r="G21" s="7">
        <v>390</v>
      </c>
      <c r="H21" s="7">
        <v>438</v>
      </c>
      <c r="I21" s="7">
        <v>465</v>
      </c>
      <c r="J21" s="7">
        <v>490</v>
      </c>
      <c r="K21" s="7">
        <v>574</v>
      </c>
      <c r="L21" s="7">
        <v>500</v>
      </c>
    </row>
    <row r="22" spans="1:12" x14ac:dyDescent="0.35">
      <c r="A22" s="21" t="s">
        <v>25</v>
      </c>
      <c r="B22" s="22">
        <f t="shared" ref="B22:L22" si="5">B15/(B18/8)</f>
        <v>0.13021077283372365</v>
      </c>
      <c r="C22" s="22">
        <f t="shared" si="5"/>
        <v>0.19127725856697819</v>
      </c>
      <c r="D22" s="22">
        <f t="shared" si="5"/>
        <v>0.29155145929339482</v>
      </c>
      <c r="E22" s="22">
        <f t="shared" si="5"/>
        <v>0.33106575963718821</v>
      </c>
      <c r="F22" s="22">
        <f t="shared" si="5"/>
        <v>0.42789317507418401</v>
      </c>
      <c r="G22" s="22">
        <f t="shared" si="5"/>
        <v>0.51956043956043962</v>
      </c>
      <c r="H22" s="22">
        <f t="shared" si="5"/>
        <v>0.40044036697247698</v>
      </c>
      <c r="I22" s="22">
        <f t="shared" si="5"/>
        <v>0.44380447139067825</v>
      </c>
      <c r="J22" s="22">
        <f t="shared" si="5"/>
        <v>0.49100196463654222</v>
      </c>
      <c r="K22" s="22">
        <f t="shared" si="5"/>
        <v>0.24480331262939961</v>
      </c>
      <c r="L22" s="22">
        <f t="shared" si="5"/>
        <v>4.1739130434782612E-2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E533-971F-44D3-A88D-6E1B83E2B407}">
  <dimension ref="A1:G167"/>
  <sheetViews>
    <sheetView topLeftCell="A126" zoomScale="70" zoomScaleNormal="70" workbookViewId="0">
      <selection activeCell="B113" sqref="B113"/>
    </sheetView>
  </sheetViews>
  <sheetFormatPr defaultRowHeight="14.5" x14ac:dyDescent="0.35"/>
  <cols>
    <col min="1" max="1" width="53.26953125" customWidth="1"/>
    <col min="2" max="2" width="54.81640625" customWidth="1"/>
    <col min="3" max="3" width="38.1796875" customWidth="1"/>
    <col min="4" max="4" width="77.1796875" bestFit="1" customWidth="1"/>
    <col min="5" max="5" width="38.1796875" customWidth="1"/>
    <col min="6" max="6" width="56" bestFit="1" customWidth="1"/>
    <col min="7" max="7" width="38.1796875" customWidth="1"/>
  </cols>
  <sheetData>
    <row r="1" spans="1:7" ht="18.5" x14ac:dyDescent="0.45">
      <c r="A1" s="23" t="s">
        <v>87</v>
      </c>
    </row>
    <row r="2" spans="1:7" x14ac:dyDescent="0.35">
      <c r="A2" s="24" t="s">
        <v>88</v>
      </c>
    </row>
    <row r="4" spans="1:7" x14ac:dyDescent="0.35">
      <c r="A4" s="2" t="s">
        <v>89</v>
      </c>
      <c r="B4" s="25"/>
      <c r="C4" s="25"/>
      <c r="D4" s="25"/>
      <c r="E4" s="25"/>
      <c r="F4" s="25"/>
      <c r="G4" s="25"/>
    </row>
    <row r="5" spans="1:7" x14ac:dyDescent="0.35">
      <c r="A5" s="30" t="s">
        <v>90</v>
      </c>
      <c r="B5" s="30" t="s">
        <v>91</v>
      </c>
      <c r="C5" s="30" t="s">
        <v>92</v>
      </c>
      <c r="D5" s="30" t="s">
        <v>93</v>
      </c>
      <c r="E5" s="30" t="s">
        <v>94</v>
      </c>
      <c r="F5" s="30" t="s">
        <v>95</v>
      </c>
      <c r="G5" s="30" t="s">
        <v>96</v>
      </c>
    </row>
    <row r="6" spans="1:7" x14ac:dyDescent="0.35">
      <c r="A6" s="6" t="s">
        <v>97</v>
      </c>
      <c r="B6" s="51">
        <v>42248</v>
      </c>
      <c r="C6" s="52">
        <v>58</v>
      </c>
      <c r="D6" s="51">
        <v>43101</v>
      </c>
      <c r="E6" s="52">
        <v>212</v>
      </c>
      <c r="F6" t="s">
        <v>98</v>
      </c>
      <c r="G6" t="s">
        <v>99</v>
      </c>
    </row>
    <row r="7" spans="1:7" x14ac:dyDescent="0.35">
      <c r="A7" s="6" t="s">
        <v>100</v>
      </c>
      <c r="B7" s="51">
        <v>43466</v>
      </c>
      <c r="C7" s="52">
        <v>130</v>
      </c>
      <c r="D7" s="51">
        <v>44105</v>
      </c>
      <c r="E7" s="52">
        <v>319</v>
      </c>
      <c r="F7">
        <v>40</v>
      </c>
      <c r="G7" t="s">
        <v>101</v>
      </c>
    </row>
    <row r="8" spans="1:7" x14ac:dyDescent="0.35">
      <c r="A8" s="6" t="s">
        <v>102</v>
      </c>
      <c r="B8" s="51">
        <v>44835</v>
      </c>
      <c r="C8" s="52">
        <v>58</v>
      </c>
      <c r="D8" s="51">
        <v>45383</v>
      </c>
      <c r="E8" s="52">
        <v>117</v>
      </c>
      <c r="F8">
        <v>45</v>
      </c>
      <c r="G8" t="s">
        <v>103</v>
      </c>
    </row>
    <row r="9" spans="1:7" x14ac:dyDescent="0.35">
      <c r="A9" s="53" t="s">
        <v>104</v>
      </c>
      <c r="B9" s="54" t="s">
        <v>105</v>
      </c>
      <c r="C9" s="54" t="s">
        <v>106</v>
      </c>
      <c r="D9" s="55">
        <v>46722</v>
      </c>
      <c r="E9" s="54" t="s">
        <v>107</v>
      </c>
      <c r="F9" s="54">
        <v>41</v>
      </c>
      <c r="G9" s="54" t="s">
        <v>108</v>
      </c>
    </row>
    <row r="10" spans="1:7" x14ac:dyDescent="0.35">
      <c r="A10" s="34" t="s">
        <v>109</v>
      </c>
      <c r="F10" s="6">
        <v>42</v>
      </c>
      <c r="G10" t="s">
        <v>110</v>
      </c>
    </row>
    <row r="13" spans="1:7" x14ac:dyDescent="0.35">
      <c r="A13" s="2" t="s">
        <v>111</v>
      </c>
      <c r="B13" s="25"/>
      <c r="C13" s="25"/>
      <c r="D13" s="25"/>
      <c r="E13" s="25"/>
      <c r="F13" s="25"/>
      <c r="G13" s="25"/>
    </row>
    <row r="14" spans="1:7" x14ac:dyDescent="0.35">
      <c r="A14" s="30" t="s">
        <v>112</v>
      </c>
      <c r="B14" s="30" t="s">
        <v>113</v>
      </c>
      <c r="C14" s="30" t="s">
        <v>114</v>
      </c>
      <c r="D14" s="30" t="s">
        <v>115</v>
      </c>
      <c r="E14" s="30" t="s">
        <v>116</v>
      </c>
      <c r="F14" s="30" t="s">
        <v>117</v>
      </c>
      <c r="G14" s="30" t="s">
        <v>118</v>
      </c>
    </row>
    <row r="15" spans="1:7" x14ac:dyDescent="0.35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s="57" t="s">
        <v>125</v>
      </c>
    </row>
    <row r="16" spans="1:7" x14ac:dyDescent="0.35">
      <c r="A16" t="s">
        <v>126</v>
      </c>
      <c r="B16" t="s">
        <v>127</v>
      </c>
      <c r="C16" t="s">
        <v>128</v>
      </c>
      <c r="D16" t="s">
        <v>129</v>
      </c>
      <c r="E16" t="s">
        <v>130</v>
      </c>
      <c r="F16" t="s">
        <v>131</v>
      </c>
      <c r="G16" s="57" t="s">
        <v>132</v>
      </c>
    </row>
    <row r="17" spans="1:7" x14ac:dyDescent="0.35">
      <c r="A17" t="s">
        <v>133</v>
      </c>
      <c r="B17" t="s">
        <v>134</v>
      </c>
      <c r="C17" t="s">
        <v>135</v>
      </c>
      <c r="D17" t="s">
        <v>129</v>
      </c>
      <c r="E17" t="s">
        <v>136</v>
      </c>
      <c r="F17" t="s">
        <v>137</v>
      </c>
      <c r="G17" s="17" t="s">
        <v>138</v>
      </c>
    </row>
    <row r="18" spans="1:7" x14ac:dyDescent="0.35">
      <c r="A18" t="s">
        <v>139</v>
      </c>
      <c r="B18" t="s">
        <v>140</v>
      </c>
      <c r="C18" t="s">
        <v>141</v>
      </c>
      <c r="D18" t="s">
        <v>142</v>
      </c>
      <c r="E18" t="s">
        <v>143</v>
      </c>
      <c r="F18" t="s">
        <v>144</v>
      </c>
      <c r="G18" s="57" t="s">
        <v>145</v>
      </c>
    </row>
    <row r="19" spans="1:7" x14ac:dyDescent="0.35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151</v>
      </c>
      <c r="G19" s="53" t="s">
        <v>152</v>
      </c>
    </row>
    <row r="20" spans="1:7" x14ac:dyDescent="0.35">
      <c r="A20">
        <v>2028</v>
      </c>
      <c r="B20" t="s">
        <v>153</v>
      </c>
      <c r="C20" t="s">
        <v>154</v>
      </c>
      <c r="D20" t="s">
        <v>155</v>
      </c>
      <c r="E20" t="s">
        <v>156</v>
      </c>
      <c r="F20" t="s">
        <v>157</v>
      </c>
      <c r="G20" s="53" t="s">
        <v>158</v>
      </c>
    </row>
    <row r="23" spans="1:7" x14ac:dyDescent="0.35">
      <c r="A23" s="2" t="s">
        <v>159</v>
      </c>
      <c r="B23" s="25"/>
      <c r="C23" s="25"/>
      <c r="D23" s="25"/>
      <c r="E23" s="25"/>
      <c r="F23" s="25"/>
      <c r="G23" s="25"/>
    </row>
    <row r="24" spans="1:7" x14ac:dyDescent="0.35">
      <c r="A24" s="30" t="s">
        <v>160</v>
      </c>
      <c r="B24" s="30" t="s">
        <v>161</v>
      </c>
      <c r="C24" s="30" t="s">
        <v>162</v>
      </c>
      <c r="D24" s="30" t="s">
        <v>163</v>
      </c>
    </row>
    <row r="25" spans="1:7" x14ac:dyDescent="0.35">
      <c r="A25" t="s">
        <v>164</v>
      </c>
      <c r="B25" t="s">
        <v>165</v>
      </c>
      <c r="C25" t="s">
        <v>166</v>
      </c>
      <c r="D25" t="s">
        <v>167</v>
      </c>
    </row>
    <row r="26" spans="1:7" x14ac:dyDescent="0.35">
      <c r="A26" t="s">
        <v>168</v>
      </c>
      <c r="B26" t="s">
        <v>169</v>
      </c>
      <c r="C26" t="s">
        <v>170</v>
      </c>
      <c r="D26" t="s">
        <v>171</v>
      </c>
    </row>
    <row r="27" spans="1:7" x14ac:dyDescent="0.35">
      <c r="A27" t="s">
        <v>172</v>
      </c>
      <c r="B27" t="s">
        <v>173</v>
      </c>
      <c r="C27" t="s">
        <v>174</v>
      </c>
      <c r="D27" t="s">
        <v>175</v>
      </c>
    </row>
    <row r="28" spans="1:7" x14ac:dyDescent="0.35">
      <c r="A28" t="s">
        <v>176</v>
      </c>
      <c r="B28" t="s">
        <v>177</v>
      </c>
      <c r="C28" t="s">
        <v>178</v>
      </c>
      <c r="D28" t="s">
        <v>179</v>
      </c>
    </row>
    <row r="29" spans="1:7" x14ac:dyDescent="0.35">
      <c r="A29" t="s">
        <v>180</v>
      </c>
      <c r="B29" t="s">
        <v>181</v>
      </c>
      <c r="C29" t="s">
        <v>182</v>
      </c>
      <c r="D29" t="s">
        <v>183</v>
      </c>
    </row>
    <row r="30" spans="1:7" x14ac:dyDescent="0.35">
      <c r="A30" t="s">
        <v>184</v>
      </c>
      <c r="B30" t="s">
        <v>185</v>
      </c>
      <c r="C30" t="s">
        <v>186</v>
      </c>
      <c r="D30" t="s">
        <v>187</v>
      </c>
    </row>
    <row r="33" spans="1:7" ht="16" x14ac:dyDescent="0.4">
      <c r="A33" s="67" t="s">
        <v>263</v>
      </c>
      <c r="B33" s="25"/>
      <c r="C33" s="25"/>
      <c r="D33" s="25"/>
      <c r="E33" s="25"/>
      <c r="F33" s="25"/>
      <c r="G33" s="25"/>
    </row>
    <row r="34" spans="1:7" x14ac:dyDescent="0.35">
      <c r="A34" s="9" t="s">
        <v>264</v>
      </c>
    </row>
    <row r="35" spans="1:7" x14ac:dyDescent="0.35">
      <c r="A35" s="81" t="s">
        <v>265</v>
      </c>
    </row>
    <row r="37" spans="1:7" x14ac:dyDescent="0.35">
      <c r="A37" s="30" t="s">
        <v>266</v>
      </c>
      <c r="B37" s="30" t="s">
        <v>267</v>
      </c>
      <c r="C37" s="30" t="s">
        <v>268</v>
      </c>
      <c r="D37" s="30" t="s">
        <v>269</v>
      </c>
      <c r="E37" s="30" t="s">
        <v>270</v>
      </c>
      <c r="F37" s="30" t="s">
        <v>271</v>
      </c>
      <c r="G37" s="30" t="s">
        <v>272</v>
      </c>
    </row>
    <row r="38" spans="1:7" x14ac:dyDescent="0.35">
      <c r="A38" t="s">
        <v>273</v>
      </c>
      <c r="B38" s="51">
        <v>41153</v>
      </c>
      <c r="C38" s="51">
        <v>40575</v>
      </c>
      <c r="D38" t="s">
        <v>98</v>
      </c>
      <c r="E38" s="82">
        <v>-3.5999999999999997E-2</v>
      </c>
      <c r="F38" s="82">
        <v>7.0999999999999994E-2</v>
      </c>
      <c r="G38" t="s">
        <v>274</v>
      </c>
    </row>
    <row r="39" spans="1:7" x14ac:dyDescent="0.35">
      <c r="A39" t="s">
        <v>275</v>
      </c>
      <c r="B39" s="51">
        <v>42248</v>
      </c>
      <c r="C39" s="51">
        <v>42979</v>
      </c>
      <c r="D39" t="s">
        <v>276</v>
      </c>
      <c r="E39" s="82">
        <v>-5.8999999999999997E-2</v>
      </c>
      <c r="F39" s="82">
        <v>6.9000000000000006E-2</v>
      </c>
      <c r="G39" t="s">
        <v>277</v>
      </c>
    </row>
    <row r="40" spans="1:7" x14ac:dyDescent="0.35">
      <c r="A40" t="s">
        <v>278</v>
      </c>
      <c r="B40" s="51">
        <v>43983</v>
      </c>
      <c r="C40" s="51">
        <v>44470</v>
      </c>
      <c r="D40" t="s">
        <v>279</v>
      </c>
      <c r="E40" s="82">
        <v>-3.6999999999999998E-2</v>
      </c>
      <c r="F40" s="82">
        <v>0.13500000000000001</v>
      </c>
      <c r="G40" t="s">
        <v>280</v>
      </c>
    </row>
    <row r="41" spans="1:7" x14ac:dyDescent="0.35">
      <c r="A41" t="s">
        <v>281</v>
      </c>
      <c r="B41" s="51">
        <v>45078</v>
      </c>
      <c r="C41" t="s">
        <v>282</v>
      </c>
      <c r="D41" t="s">
        <v>283</v>
      </c>
      <c r="E41" s="82">
        <v>-5.3999999999999999E-2</v>
      </c>
      <c r="F41" t="s">
        <v>284</v>
      </c>
      <c r="G41" t="s">
        <v>285</v>
      </c>
    </row>
    <row r="42" spans="1:7" x14ac:dyDescent="0.35">
      <c r="A42" s="53" t="s">
        <v>286</v>
      </c>
      <c r="B42" s="54" t="s">
        <v>287</v>
      </c>
      <c r="C42" s="54" t="s">
        <v>288</v>
      </c>
      <c r="D42" s="54" t="s">
        <v>283</v>
      </c>
      <c r="E42" s="54"/>
      <c r="F42" s="54"/>
      <c r="G42" s="54" t="s">
        <v>289</v>
      </c>
    </row>
    <row r="43" spans="1:7" x14ac:dyDescent="0.35">
      <c r="A43" s="34" t="s">
        <v>109</v>
      </c>
      <c r="D43" s="6" t="s">
        <v>290</v>
      </c>
      <c r="G43" t="s">
        <v>291</v>
      </c>
    </row>
    <row r="45" spans="1:7" x14ac:dyDescent="0.35">
      <c r="A45" s="81" t="s">
        <v>292</v>
      </c>
    </row>
    <row r="46" spans="1:7" x14ac:dyDescent="0.35">
      <c r="A46" s="6" t="s">
        <v>293</v>
      </c>
    </row>
    <row r="47" spans="1:7" x14ac:dyDescent="0.35">
      <c r="A47" s="57" t="s">
        <v>294</v>
      </c>
    </row>
    <row r="48" spans="1:7" x14ac:dyDescent="0.35">
      <c r="A48" s="78" t="s">
        <v>295</v>
      </c>
    </row>
    <row r="51" spans="1:7" ht="16" x14ac:dyDescent="0.4">
      <c r="A51" s="67" t="s">
        <v>296</v>
      </c>
      <c r="B51" s="25"/>
      <c r="C51" s="25"/>
      <c r="D51" s="25"/>
      <c r="E51" s="25"/>
      <c r="F51" s="25"/>
      <c r="G51" s="25"/>
    </row>
    <row r="52" spans="1:7" x14ac:dyDescent="0.35">
      <c r="A52" s="9" t="s">
        <v>297</v>
      </c>
    </row>
    <row r="53" spans="1:7" x14ac:dyDescent="0.35">
      <c r="A53" s="9" t="s">
        <v>298</v>
      </c>
    </row>
    <row r="55" spans="1:7" x14ac:dyDescent="0.35">
      <c r="A55" s="30" t="s">
        <v>299</v>
      </c>
      <c r="B55" s="30" t="s">
        <v>112</v>
      </c>
      <c r="C55" s="30" t="s">
        <v>300</v>
      </c>
      <c r="D55" s="30" t="s">
        <v>301</v>
      </c>
      <c r="E55" s="30" t="s">
        <v>302</v>
      </c>
      <c r="F55" s="30" t="s">
        <v>303</v>
      </c>
      <c r="G55" s="30" t="s">
        <v>304</v>
      </c>
    </row>
    <row r="56" spans="1:7" x14ac:dyDescent="0.35">
      <c r="A56" t="s">
        <v>305</v>
      </c>
      <c r="B56" t="s">
        <v>306</v>
      </c>
      <c r="C56" t="s">
        <v>307</v>
      </c>
      <c r="D56" t="s">
        <v>308</v>
      </c>
      <c r="E56" t="s">
        <v>309</v>
      </c>
      <c r="F56" t="s">
        <v>310</v>
      </c>
      <c r="G56" t="s">
        <v>311</v>
      </c>
    </row>
    <row r="57" spans="1:7" x14ac:dyDescent="0.35">
      <c r="A57" t="s">
        <v>312</v>
      </c>
      <c r="B57" t="s">
        <v>313</v>
      </c>
      <c r="C57" t="s">
        <v>314</v>
      </c>
      <c r="D57" t="s">
        <v>315</v>
      </c>
      <c r="E57" t="s">
        <v>316</v>
      </c>
      <c r="F57" t="s">
        <v>317</v>
      </c>
      <c r="G57" t="s">
        <v>318</v>
      </c>
    </row>
    <row r="58" spans="1:7" x14ac:dyDescent="0.35">
      <c r="A58" s="57" t="s">
        <v>319</v>
      </c>
      <c r="B58" s="56" t="s">
        <v>320</v>
      </c>
      <c r="C58" s="56" t="s">
        <v>321</v>
      </c>
      <c r="D58" s="56" t="s">
        <v>322</v>
      </c>
      <c r="E58" s="56" t="s">
        <v>323</v>
      </c>
      <c r="F58" s="56" t="s">
        <v>324</v>
      </c>
      <c r="G58" s="56" t="s">
        <v>325</v>
      </c>
    </row>
    <row r="59" spans="1:7" x14ac:dyDescent="0.35">
      <c r="A59" s="54" t="s">
        <v>326</v>
      </c>
      <c r="B59" s="54" t="s">
        <v>327</v>
      </c>
      <c r="C59" s="54" t="s">
        <v>328</v>
      </c>
      <c r="D59" s="54" t="s">
        <v>329</v>
      </c>
      <c r="E59" s="54" t="s">
        <v>330</v>
      </c>
      <c r="F59" s="54" t="s">
        <v>331</v>
      </c>
      <c r="G59" s="54" t="s">
        <v>332</v>
      </c>
    </row>
    <row r="62" spans="1:7" ht="16" x14ac:dyDescent="0.4">
      <c r="A62" s="75" t="s">
        <v>333</v>
      </c>
      <c r="B62" s="76"/>
      <c r="C62" s="76"/>
      <c r="D62" s="76"/>
      <c r="E62" s="76"/>
      <c r="F62" s="76"/>
      <c r="G62" s="76"/>
    </row>
    <row r="64" spans="1:7" x14ac:dyDescent="0.35">
      <c r="A64" s="30" t="s">
        <v>334</v>
      </c>
      <c r="B64" s="30" t="s">
        <v>335</v>
      </c>
      <c r="C64" s="30" t="s">
        <v>336</v>
      </c>
      <c r="D64" s="30" t="s">
        <v>337</v>
      </c>
      <c r="E64" s="30" t="s">
        <v>338</v>
      </c>
      <c r="F64" s="30" t="s">
        <v>339</v>
      </c>
      <c r="G64" s="30" t="s">
        <v>340</v>
      </c>
    </row>
    <row r="65" spans="1:7" x14ac:dyDescent="0.35">
      <c r="A65" t="s">
        <v>341</v>
      </c>
      <c r="B65" t="s">
        <v>342</v>
      </c>
      <c r="C65" t="s">
        <v>343</v>
      </c>
      <c r="D65" t="s">
        <v>344</v>
      </c>
      <c r="E65" t="s">
        <v>345</v>
      </c>
      <c r="F65" t="s">
        <v>346</v>
      </c>
      <c r="G65" t="s">
        <v>347</v>
      </c>
    </row>
    <row r="66" spans="1:7" x14ac:dyDescent="0.35">
      <c r="A66" t="s">
        <v>348</v>
      </c>
      <c r="B66" t="s">
        <v>349</v>
      </c>
      <c r="C66" t="s">
        <v>350</v>
      </c>
      <c r="D66" t="s">
        <v>351</v>
      </c>
      <c r="E66" t="s">
        <v>352</v>
      </c>
      <c r="F66" t="s">
        <v>353</v>
      </c>
      <c r="G66" t="s">
        <v>354</v>
      </c>
    </row>
    <row r="67" spans="1:7" x14ac:dyDescent="0.35">
      <c r="A67" t="s">
        <v>355</v>
      </c>
      <c r="B67" t="s">
        <v>356</v>
      </c>
      <c r="C67" t="s">
        <v>357</v>
      </c>
      <c r="D67" t="s">
        <v>358</v>
      </c>
      <c r="E67" t="s">
        <v>359</v>
      </c>
      <c r="F67" t="s">
        <v>360</v>
      </c>
      <c r="G67" t="s">
        <v>361</v>
      </c>
    </row>
    <row r="68" spans="1:7" x14ac:dyDescent="0.35">
      <c r="A68" t="s">
        <v>362</v>
      </c>
      <c r="B68" t="s">
        <v>363</v>
      </c>
      <c r="C68" t="s">
        <v>364</v>
      </c>
      <c r="D68" t="s">
        <v>365</v>
      </c>
      <c r="E68" t="s">
        <v>366</v>
      </c>
      <c r="F68" t="s">
        <v>367</v>
      </c>
      <c r="G68" t="s">
        <v>368</v>
      </c>
    </row>
    <row r="69" spans="1:7" x14ac:dyDescent="0.35">
      <c r="A69" t="s">
        <v>369</v>
      </c>
      <c r="B69" t="s">
        <v>370</v>
      </c>
      <c r="C69" t="s">
        <v>371</v>
      </c>
      <c r="D69" t="s">
        <v>372</v>
      </c>
      <c r="E69" t="s">
        <v>373</v>
      </c>
      <c r="F69" t="s">
        <v>374</v>
      </c>
      <c r="G69" t="s">
        <v>375</v>
      </c>
    </row>
    <row r="70" spans="1:7" x14ac:dyDescent="0.35">
      <c r="A70" t="s">
        <v>376</v>
      </c>
      <c r="B70" t="s">
        <v>377</v>
      </c>
      <c r="C70" t="s">
        <v>378</v>
      </c>
      <c r="D70" t="s">
        <v>379</v>
      </c>
      <c r="E70" t="s">
        <v>380</v>
      </c>
      <c r="F70" t="s">
        <v>381</v>
      </c>
      <c r="G70" t="s">
        <v>382</v>
      </c>
    </row>
    <row r="71" spans="1:7" x14ac:dyDescent="0.35">
      <c r="A71" t="s">
        <v>383</v>
      </c>
      <c r="B71" t="s">
        <v>384</v>
      </c>
      <c r="C71" t="s">
        <v>385</v>
      </c>
      <c r="D71" t="s">
        <v>386</v>
      </c>
      <c r="E71" t="s">
        <v>387</v>
      </c>
      <c r="F71" t="s">
        <v>388</v>
      </c>
      <c r="G71" t="s">
        <v>389</v>
      </c>
    </row>
    <row r="72" spans="1:7" x14ac:dyDescent="0.35">
      <c r="A72" t="s">
        <v>390</v>
      </c>
      <c r="B72" t="s">
        <v>391</v>
      </c>
      <c r="C72" t="s">
        <v>392</v>
      </c>
      <c r="D72" t="s">
        <v>393</v>
      </c>
      <c r="E72" t="s">
        <v>394</v>
      </c>
      <c r="F72" t="s">
        <v>395</v>
      </c>
      <c r="G72" t="s">
        <v>396</v>
      </c>
    </row>
    <row r="74" spans="1:7" x14ac:dyDescent="0.35">
      <c r="A74" s="62" t="s">
        <v>397</v>
      </c>
    </row>
    <row r="76" spans="1:7" ht="16" x14ac:dyDescent="0.4">
      <c r="A76" s="67" t="s">
        <v>398</v>
      </c>
      <c r="B76" s="25"/>
      <c r="C76" s="25"/>
      <c r="D76" s="25"/>
      <c r="E76" s="25"/>
      <c r="F76" s="25"/>
      <c r="G76" s="25"/>
    </row>
    <row r="78" spans="1:7" x14ac:dyDescent="0.35">
      <c r="A78" s="30" t="s">
        <v>399</v>
      </c>
      <c r="B78" s="30" t="s">
        <v>400</v>
      </c>
      <c r="C78" s="30" t="s">
        <v>161</v>
      </c>
      <c r="D78" s="30" t="s">
        <v>163</v>
      </c>
      <c r="E78" s="30" t="s">
        <v>401</v>
      </c>
    </row>
    <row r="79" spans="1:7" x14ac:dyDescent="0.35">
      <c r="A79" t="s">
        <v>402</v>
      </c>
      <c r="B79" t="s">
        <v>403</v>
      </c>
      <c r="C79" t="s">
        <v>404</v>
      </c>
      <c r="D79" t="s">
        <v>405</v>
      </c>
      <c r="E79" s="57" t="s">
        <v>406</v>
      </c>
    </row>
    <row r="80" spans="1:7" x14ac:dyDescent="0.35">
      <c r="A80" t="s">
        <v>407</v>
      </c>
      <c r="B80" t="s">
        <v>408</v>
      </c>
      <c r="C80" t="s">
        <v>409</v>
      </c>
      <c r="D80" t="s">
        <v>410</v>
      </c>
      <c r="E80" s="57" t="s">
        <v>411</v>
      </c>
    </row>
    <row r="81" spans="1:7" x14ac:dyDescent="0.35">
      <c r="A81" t="s">
        <v>412</v>
      </c>
      <c r="B81" t="s">
        <v>413</v>
      </c>
      <c r="C81" t="s">
        <v>414</v>
      </c>
      <c r="D81" t="s">
        <v>415</v>
      </c>
      <c r="E81" s="57" t="s">
        <v>406</v>
      </c>
    </row>
    <row r="82" spans="1:7" x14ac:dyDescent="0.35">
      <c r="A82" t="s">
        <v>416</v>
      </c>
      <c r="B82" t="s">
        <v>417</v>
      </c>
      <c r="C82" t="s">
        <v>418</v>
      </c>
      <c r="D82" t="s">
        <v>419</v>
      </c>
      <c r="E82" s="57" t="s">
        <v>411</v>
      </c>
    </row>
    <row r="83" spans="1:7" x14ac:dyDescent="0.35">
      <c r="A83" t="s">
        <v>420</v>
      </c>
      <c r="B83" t="s">
        <v>421</v>
      </c>
      <c r="C83" t="s">
        <v>422</v>
      </c>
      <c r="D83" t="s">
        <v>423</v>
      </c>
      <c r="E83" s="17" t="s">
        <v>424</v>
      </c>
    </row>
    <row r="84" spans="1:7" x14ac:dyDescent="0.35">
      <c r="A84" t="s">
        <v>425</v>
      </c>
      <c r="B84" t="s">
        <v>426</v>
      </c>
      <c r="C84" t="s">
        <v>427</v>
      </c>
      <c r="D84" t="s">
        <v>171</v>
      </c>
      <c r="E84" s="17" t="s">
        <v>424</v>
      </c>
    </row>
    <row r="85" spans="1:7" x14ac:dyDescent="0.35">
      <c r="A85" t="s">
        <v>428</v>
      </c>
      <c r="B85" t="s">
        <v>429</v>
      </c>
      <c r="C85" t="s">
        <v>430</v>
      </c>
      <c r="D85" t="s">
        <v>431</v>
      </c>
      <c r="E85" s="17" t="s">
        <v>424</v>
      </c>
    </row>
    <row r="87" spans="1:7" x14ac:dyDescent="0.35">
      <c r="A87" s="83" t="s">
        <v>432</v>
      </c>
    </row>
    <row r="89" spans="1:7" x14ac:dyDescent="0.35">
      <c r="A89" s="81" t="s">
        <v>433</v>
      </c>
    </row>
    <row r="90" spans="1:7" x14ac:dyDescent="0.35">
      <c r="A90" t="s">
        <v>434</v>
      </c>
    </row>
    <row r="91" spans="1:7" x14ac:dyDescent="0.35">
      <c r="A91" t="s">
        <v>435</v>
      </c>
    </row>
    <row r="92" spans="1:7" x14ac:dyDescent="0.35">
      <c r="A92" t="s">
        <v>436</v>
      </c>
    </row>
    <row r="93" spans="1:7" x14ac:dyDescent="0.35">
      <c r="A93" t="s">
        <v>437</v>
      </c>
    </row>
    <row r="96" spans="1:7" ht="18.5" x14ac:dyDescent="0.45">
      <c r="A96" s="84" t="s">
        <v>438</v>
      </c>
      <c r="B96" s="85"/>
      <c r="C96" s="85"/>
      <c r="D96" s="85"/>
      <c r="E96" s="85"/>
      <c r="F96" s="85"/>
      <c r="G96" s="85"/>
    </row>
    <row r="97" spans="1:7" x14ac:dyDescent="0.35">
      <c r="A97" t="s">
        <v>439</v>
      </c>
    </row>
    <row r="99" spans="1:7" x14ac:dyDescent="0.35">
      <c r="A99" s="2" t="s">
        <v>440</v>
      </c>
      <c r="B99" s="25"/>
      <c r="C99" s="25"/>
      <c r="D99" s="25"/>
      <c r="E99" s="25"/>
      <c r="F99" s="25"/>
      <c r="G99" s="25"/>
    </row>
    <row r="100" spans="1:7" x14ac:dyDescent="0.35">
      <c r="A100" s="30" t="s">
        <v>160</v>
      </c>
      <c r="B100" s="30" t="s">
        <v>441</v>
      </c>
      <c r="C100" s="30" t="s">
        <v>442</v>
      </c>
      <c r="D100" s="30" t="s">
        <v>443</v>
      </c>
      <c r="E100" s="30" t="s">
        <v>444</v>
      </c>
      <c r="F100" s="30" t="s">
        <v>445</v>
      </c>
      <c r="G100" s="30" t="s">
        <v>304</v>
      </c>
    </row>
    <row r="101" spans="1:7" x14ac:dyDescent="0.35">
      <c r="A101" t="s">
        <v>446</v>
      </c>
      <c r="B101" t="s">
        <v>447</v>
      </c>
      <c r="C101" t="s">
        <v>448</v>
      </c>
      <c r="D101" s="81" t="s">
        <v>449</v>
      </c>
      <c r="E101" s="81" t="s">
        <v>450</v>
      </c>
      <c r="F101" t="s">
        <v>451</v>
      </c>
      <c r="G101" t="s">
        <v>452</v>
      </c>
    </row>
    <row r="102" spans="1:7" x14ac:dyDescent="0.35">
      <c r="A102" t="s">
        <v>453</v>
      </c>
      <c r="B102" t="s">
        <v>454</v>
      </c>
      <c r="C102" t="s">
        <v>455</v>
      </c>
      <c r="D102" t="s">
        <v>456</v>
      </c>
      <c r="E102" s="57" t="s">
        <v>457</v>
      </c>
      <c r="F102" t="s">
        <v>458</v>
      </c>
      <c r="G102" t="s">
        <v>459</v>
      </c>
    </row>
    <row r="103" spans="1:7" x14ac:dyDescent="0.35">
      <c r="A103" t="s">
        <v>460</v>
      </c>
      <c r="B103" t="s">
        <v>461</v>
      </c>
      <c r="C103" t="s">
        <v>462</v>
      </c>
      <c r="D103" t="s">
        <v>463</v>
      </c>
      <c r="E103" s="81" t="s">
        <v>464</v>
      </c>
      <c r="F103" t="s">
        <v>465</v>
      </c>
      <c r="G103" t="s">
        <v>466</v>
      </c>
    </row>
    <row r="104" spans="1:7" x14ac:dyDescent="0.35">
      <c r="A104" t="s">
        <v>467</v>
      </c>
      <c r="B104" t="s">
        <v>468</v>
      </c>
      <c r="C104" t="s">
        <v>469</v>
      </c>
      <c r="D104" t="s">
        <v>470</v>
      </c>
      <c r="E104" s="81" t="s">
        <v>471</v>
      </c>
      <c r="F104" t="s">
        <v>472</v>
      </c>
      <c r="G104" t="s">
        <v>473</v>
      </c>
    </row>
    <row r="105" spans="1:7" x14ac:dyDescent="0.35">
      <c r="A105" t="s">
        <v>474</v>
      </c>
      <c r="B105" t="s">
        <v>475</v>
      </c>
      <c r="C105" t="s">
        <v>476</v>
      </c>
      <c r="D105" s="57" t="s">
        <v>477</v>
      </c>
      <c r="E105" s="57" t="s">
        <v>478</v>
      </c>
      <c r="F105" t="s">
        <v>479</v>
      </c>
      <c r="G105" t="s">
        <v>480</v>
      </c>
    </row>
    <row r="106" spans="1:7" x14ac:dyDescent="0.35">
      <c r="A106" t="s">
        <v>481</v>
      </c>
      <c r="B106" t="s">
        <v>482</v>
      </c>
      <c r="C106" t="s">
        <v>483</v>
      </c>
      <c r="D106" s="80" t="s">
        <v>484</v>
      </c>
      <c r="E106" s="57" t="s">
        <v>485</v>
      </c>
      <c r="F106" t="s">
        <v>486</v>
      </c>
      <c r="G106" t="s">
        <v>487</v>
      </c>
    </row>
    <row r="107" spans="1:7" x14ac:dyDescent="0.35">
      <c r="A107" t="s">
        <v>488</v>
      </c>
      <c r="B107" t="s">
        <v>489</v>
      </c>
      <c r="C107" t="s">
        <v>490</v>
      </c>
      <c r="D107" t="s">
        <v>491</v>
      </c>
      <c r="E107" s="81" t="s">
        <v>492</v>
      </c>
      <c r="F107" t="s">
        <v>493</v>
      </c>
      <c r="G107" t="s">
        <v>494</v>
      </c>
    </row>
    <row r="108" spans="1:7" x14ac:dyDescent="0.35">
      <c r="A108" t="s">
        <v>495</v>
      </c>
      <c r="B108" t="s">
        <v>496</v>
      </c>
      <c r="C108" t="s">
        <v>497</v>
      </c>
      <c r="D108" s="56" t="s">
        <v>498</v>
      </c>
      <c r="E108" s="57" t="s">
        <v>499</v>
      </c>
      <c r="F108" t="s">
        <v>500</v>
      </c>
      <c r="G108" t="s">
        <v>501</v>
      </c>
    </row>
    <row r="110" spans="1:7" x14ac:dyDescent="0.35">
      <c r="A110" s="2" t="s">
        <v>502</v>
      </c>
      <c r="B110" s="25"/>
      <c r="C110" s="25"/>
      <c r="D110" s="25"/>
      <c r="E110" s="25"/>
      <c r="F110" s="25"/>
      <c r="G110" s="25"/>
    </row>
    <row r="111" spans="1:7" x14ac:dyDescent="0.35">
      <c r="A111" s="30" t="s">
        <v>503</v>
      </c>
      <c r="B111" s="30" t="s">
        <v>504</v>
      </c>
      <c r="C111" s="30" t="s">
        <v>505</v>
      </c>
      <c r="D111" s="30" t="s">
        <v>506</v>
      </c>
      <c r="E111" s="30" t="s">
        <v>507</v>
      </c>
      <c r="F111" s="30" t="s">
        <v>508</v>
      </c>
      <c r="G111" s="30" t="s">
        <v>304</v>
      </c>
    </row>
    <row r="112" spans="1:7" x14ac:dyDescent="0.35">
      <c r="A112" t="s">
        <v>509</v>
      </c>
      <c r="B112" t="s">
        <v>510</v>
      </c>
      <c r="C112" t="s">
        <v>511</v>
      </c>
      <c r="D112" t="s">
        <v>512</v>
      </c>
      <c r="E112" t="s">
        <v>513</v>
      </c>
      <c r="F112" s="57" t="s">
        <v>514</v>
      </c>
      <c r="G112" t="s">
        <v>515</v>
      </c>
    </row>
    <row r="113" spans="1:7" x14ac:dyDescent="0.35">
      <c r="A113" t="s">
        <v>516</v>
      </c>
      <c r="B113" t="s">
        <v>517</v>
      </c>
      <c r="C113" t="s">
        <v>518</v>
      </c>
      <c r="D113" t="s">
        <v>519</v>
      </c>
      <c r="E113" t="s">
        <v>520</v>
      </c>
      <c r="F113" s="57" t="s">
        <v>521</v>
      </c>
      <c r="G113" t="s">
        <v>522</v>
      </c>
    </row>
    <row r="114" spans="1:7" x14ac:dyDescent="0.35">
      <c r="A114" t="s">
        <v>523</v>
      </c>
      <c r="B114" t="s">
        <v>524</v>
      </c>
      <c r="C114" t="s">
        <v>525</v>
      </c>
      <c r="D114" t="s">
        <v>526</v>
      </c>
      <c r="E114" t="s">
        <v>527</v>
      </c>
      <c r="F114" t="s">
        <v>528</v>
      </c>
      <c r="G114" t="s">
        <v>529</v>
      </c>
    </row>
    <row r="115" spans="1:7" x14ac:dyDescent="0.35">
      <c r="A115" t="s">
        <v>530</v>
      </c>
      <c r="B115" t="s">
        <v>531</v>
      </c>
      <c r="C115" t="s">
        <v>532</v>
      </c>
      <c r="D115" t="s">
        <v>533</v>
      </c>
      <c r="E115" t="s">
        <v>534</v>
      </c>
      <c r="F115" s="71">
        <v>0.8</v>
      </c>
      <c r="G115" t="s">
        <v>535</v>
      </c>
    </row>
    <row r="117" spans="1:7" x14ac:dyDescent="0.35">
      <c r="A117" s="86" t="s">
        <v>536</v>
      </c>
      <c r="B117" s="85"/>
      <c r="C117" s="85"/>
      <c r="D117" s="85"/>
      <c r="E117" s="85"/>
      <c r="F117" s="85"/>
      <c r="G117" s="85"/>
    </row>
    <row r="118" spans="1:7" x14ac:dyDescent="0.35">
      <c r="A118" s="30" t="s">
        <v>230</v>
      </c>
      <c r="B118" s="30" t="s">
        <v>537</v>
      </c>
      <c r="C118" s="30" t="s">
        <v>538</v>
      </c>
      <c r="D118" s="30" t="s">
        <v>539</v>
      </c>
      <c r="E118" s="30" t="s">
        <v>540</v>
      </c>
      <c r="F118" s="30" t="s">
        <v>541</v>
      </c>
      <c r="G118" s="30" t="s">
        <v>118</v>
      </c>
    </row>
    <row r="119" spans="1:7" x14ac:dyDescent="0.35">
      <c r="A119" t="s">
        <v>119</v>
      </c>
      <c r="B119" t="s">
        <v>542</v>
      </c>
      <c r="C119" t="s">
        <v>543</v>
      </c>
      <c r="D119" t="s">
        <v>544</v>
      </c>
      <c r="E119" t="s">
        <v>545</v>
      </c>
      <c r="F119" t="s">
        <v>546</v>
      </c>
      <c r="G119" s="81" t="s">
        <v>547</v>
      </c>
    </row>
    <row r="120" spans="1:7" x14ac:dyDescent="0.35">
      <c r="A120" t="s">
        <v>126</v>
      </c>
      <c r="B120" t="s">
        <v>548</v>
      </c>
      <c r="C120" t="s">
        <v>549</v>
      </c>
      <c r="D120" t="s">
        <v>550</v>
      </c>
      <c r="E120" t="s">
        <v>551</v>
      </c>
      <c r="F120" t="s">
        <v>552</v>
      </c>
      <c r="G120" s="57" t="s">
        <v>553</v>
      </c>
    </row>
    <row r="121" spans="1:7" x14ac:dyDescent="0.35">
      <c r="A121" t="s">
        <v>133</v>
      </c>
      <c r="B121" t="s">
        <v>554</v>
      </c>
      <c r="C121" t="s">
        <v>555</v>
      </c>
      <c r="D121" t="s">
        <v>556</v>
      </c>
      <c r="E121" t="s">
        <v>557</v>
      </c>
      <c r="F121" t="s">
        <v>558</v>
      </c>
      <c r="G121" s="57" t="s">
        <v>559</v>
      </c>
    </row>
    <row r="122" spans="1:7" x14ac:dyDescent="0.35">
      <c r="A122" t="s">
        <v>139</v>
      </c>
      <c r="B122" t="s">
        <v>560</v>
      </c>
      <c r="C122" t="s">
        <v>561</v>
      </c>
      <c r="D122" t="s">
        <v>562</v>
      </c>
      <c r="E122" t="s">
        <v>563</v>
      </c>
      <c r="F122" t="s">
        <v>564</v>
      </c>
      <c r="G122" s="17" t="s">
        <v>565</v>
      </c>
    </row>
    <row r="123" spans="1:7" x14ac:dyDescent="0.35">
      <c r="A123" t="s">
        <v>146</v>
      </c>
      <c r="B123" t="s">
        <v>566</v>
      </c>
      <c r="C123" t="s">
        <v>567</v>
      </c>
      <c r="D123" t="s">
        <v>568</v>
      </c>
      <c r="E123" t="s">
        <v>569</v>
      </c>
      <c r="F123" t="s">
        <v>570</v>
      </c>
      <c r="G123" s="57" t="s">
        <v>571</v>
      </c>
    </row>
    <row r="124" spans="1:7" x14ac:dyDescent="0.35">
      <c r="A124">
        <v>2028</v>
      </c>
      <c r="B124" t="s">
        <v>572</v>
      </c>
      <c r="C124" t="s">
        <v>573</v>
      </c>
      <c r="D124" t="s">
        <v>574</v>
      </c>
      <c r="E124" t="s">
        <v>575</v>
      </c>
      <c r="F124" t="s">
        <v>576</v>
      </c>
      <c r="G124" s="53" t="s">
        <v>577</v>
      </c>
    </row>
    <row r="126" spans="1:7" ht="16" x14ac:dyDescent="0.4">
      <c r="A126" s="75" t="s">
        <v>578</v>
      </c>
      <c r="B126" s="76"/>
      <c r="C126" s="76"/>
      <c r="D126" s="76"/>
      <c r="E126" s="76"/>
      <c r="F126" s="76"/>
      <c r="G126" s="76"/>
    </row>
    <row r="127" spans="1:7" x14ac:dyDescent="0.35">
      <c r="A127" t="s">
        <v>579</v>
      </c>
    </row>
    <row r="128" spans="1:7" x14ac:dyDescent="0.35">
      <c r="A128" t="s">
        <v>580</v>
      </c>
    </row>
    <row r="129" spans="1:7" x14ac:dyDescent="0.35">
      <c r="A129" t="s">
        <v>581</v>
      </c>
    </row>
    <row r="130" spans="1:7" x14ac:dyDescent="0.35">
      <c r="A130" t="s">
        <v>582</v>
      </c>
    </row>
    <row r="131" spans="1:7" x14ac:dyDescent="0.35">
      <c r="A131" t="s">
        <v>583</v>
      </c>
    </row>
    <row r="132" spans="1:7" x14ac:dyDescent="0.35">
      <c r="A132" t="s">
        <v>584</v>
      </c>
    </row>
    <row r="133" spans="1:7" x14ac:dyDescent="0.35">
      <c r="A133" t="s">
        <v>585</v>
      </c>
    </row>
    <row r="134" spans="1:7" x14ac:dyDescent="0.35">
      <c r="A134" s="83" t="s">
        <v>586</v>
      </c>
    </row>
    <row r="136" spans="1:7" ht="16" x14ac:dyDescent="0.4">
      <c r="A136" s="67" t="s">
        <v>587</v>
      </c>
      <c r="B136" s="25"/>
      <c r="C136" s="25"/>
      <c r="D136" s="25"/>
      <c r="E136" s="25"/>
      <c r="F136" s="25"/>
      <c r="G136" s="25"/>
    </row>
    <row r="137" spans="1:7" x14ac:dyDescent="0.35">
      <c r="A137" s="6" t="s">
        <v>588</v>
      </c>
    </row>
    <row r="138" spans="1:7" x14ac:dyDescent="0.35">
      <c r="A138" t="s">
        <v>589</v>
      </c>
    </row>
    <row r="139" spans="1:7" x14ac:dyDescent="0.35">
      <c r="A139" t="s">
        <v>590</v>
      </c>
    </row>
    <row r="141" spans="1:7" ht="18.5" x14ac:dyDescent="0.45">
      <c r="A141" s="88" t="s">
        <v>980</v>
      </c>
      <c r="B141" s="89"/>
      <c r="C141" s="89"/>
      <c r="D141" s="89"/>
      <c r="E141" s="89"/>
      <c r="F141" s="89"/>
      <c r="G141" s="89"/>
    </row>
    <row r="142" spans="1:7" x14ac:dyDescent="0.35">
      <c r="A142" s="78" t="s">
        <v>981</v>
      </c>
    </row>
    <row r="144" spans="1:7" x14ac:dyDescent="0.35">
      <c r="A144" s="2" t="s">
        <v>982</v>
      </c>
      <c r="B144" s="25"/>
      <c r="C144" s="25"/>
      <c r="D144" s="25"/>
      <c r="E144" s="25"/>
      <c r="F144" s="25"/>
      <c r="G144" s="25"/>
    </row>
    <row r="145" spans="1:7" x14ac:dyDescent="0.35">
      <c r="A145" s="30" t="s">
        <v>39</v>
      </c>
      <c r="B145" s="30">
        <v>2023</v>
      </c>
      <c r="C145" s="30">
        <v>2024</v>
      </c>
      <c r="D145" s="30">
        <v>2025</v>
      </c>
      <c r="E145" s="30" t="s">
        <v>983</v>
      </c>
      <c r="F145" s="30" t="s">
        <v>984</v>
      </c>
      <c r="G145" s="30" t="s">
        <v>985</v>
      </c>
    </row>
    <row r="146" spans="1:7" x14ac:dyDescent="0.35">
      <c r="A146" t="s">
        <v>986</v>
      </c>
      <c r="B146" t="s">
        <v>987</v>
      </c>
      <c r="C146" t="s">
        <v>988</v>
      </c>
      <c r="D146" t="s">
        <v>989</v>
      </c>
      <c r="E146" t="s">
        <v>990</v>
      </c>
      <c r="F146" t="s">
        <v>991</v>
      </c>
      <c r="G146" t="s">
        <v>992</v>
      </c>
    </row>
    <row r="147" spans="1:7" x14ac:dyDescent="0.35">
      <c r="A147" t="s">
        <v>993</v>
      </c>
      <c r="B147" t="s">
        <v>994</v>
      </c>
      <c r="C147" t="s">
        <v>995</v>
      </c>
      <c r="D147" t="s">
        <v>996</v>
      </c>
      <c r="E147" t="s">
        <v>997</v>
      </c>
      <c r="F147" t="s">
        <v>998</v>
      </c>
      <c r="G147" t="s">
        <v>999</v>
      </c>
    </row>
    <row r="148" spans="1:7" x14ac:dyDescent="0.35">
      <c r="A148" t="s">
        <v>1000</v>
      </c>
      <c r="B148" t="s">
        <v>1001</v>
      </c>
      <c r="C148" s="61">
        <v>0.76</v>
      </c>
      <c r="D148" s="61">
        <v>0.94</v>
      </c>
      <c r="E148" t="s">
        <v>1002</v>
      </c>
      <c r="F148" t="s">
        <v>1003</v>
      </c>
      <c r="G148" t="s">
        <v>1004</v>
      </c>
    </row>
    <row r="149" spans="1:7" x14ac:dyDescent="0.35">
      <c r="A149" t="s">
        <v>1005</v>
      </c>
      <c r="B149" t="s">
        <v>1006</v>
      </c>
      <c r="C149" t="s">
        <v>1007</v>
      </c>
      <c r="D149" t="s">
        <v>1008</v>
      </c>
      <c r="E149" t="s">
        <v>1009</v>
      </c>
      <c r="F149" t="s">
        <v>1010</v>
      </c>
      <c r="G149" t="s">
        <v>1011</v>
      </c>
    </row>
    <row r="150" spans="1:7" x14ac:dyDescent="0.35">
      <c r="A150" t="s">
        <v>1012</v>
      </c>
      <c r="B150" t="s">
        <v>1013</v>
      </c>
      <c r="C150" t="s">
        <v>1013</v>
      </c>
      <c r="D150" t="s">
        <v>1013</v>
      </c>
      <c r="E150" t="s">
        <v>1014</v>
      </c>
      <c r="F150" t="s">
        <v>1015</v>
      </c>
      <c r="G150" s="81" t="s">
        <v>1016</v>
      </c>
    </row>
    <row r="151" spans="1:7" x14ac:dyDescent="0.35">
      <c r="A151" t="s">
        <v>1017</v>
      </c>
      <c r="B151" t="s">
        <v>1018</v>
      </c>
      <c r="C151" t="s">
        <v>1019</v>
      </c>
      <c r="D151" t="s">
        <v>1020</v>
      </c>
      <c r="E151" t="s">
        <v>1021</v>
      </c>
      <c r="F151" t="s">
        <v>1022</v>
      </c>
      <c r="G151" t="s">
        <v>1023</v>
      </c>
    </row>
    <row r="153" spans="1:7" x14ac:dyDescent="0.35">
      <c r="A153" s="2" t="s">
        <v>1024</v>
      </c>
      <c r="B153" s="25"/>
      <c r="C153" s="25"/>
      <c r="D153" s="25"/>
      <c r="E153" s="25"/>
      <c r="F153" s="25"/>
      <c r="G153" s="25"/>
    </row>
    <row r="154" spans="1:7" x14ac:dyDescent="0.35">
      <c r="A154" s="6" t="s">
        <v>1025</v>
      </c>
      <c r="B154" t="s">
        <v>1026</v>
      </c>
    </row>
    <row r="155" spans="1:7" x14ac:dyDescent="0.35">
      <c r="A155" s="6" t="s">
        <v>1027</v>
      </c>
      <c r="B155" t="s">
        <v>1028</v>
      </c>
    </row>
    <row r="156" spans="1:7" x14ac:dyDescent="0.35">
      <c r="A156" s="6" t="s">
        <v>1029</v>
      </c>
      <c r="B156" t="s">
        <v>1030</v>
      </c>
    </row>
    <row r="157" spans="1:7" x14ac:dyDescent="0.35">
      <c r="A157" s="81" t="s">
        <v>1031</v>
      </c>
      <c r="B157" t="s">
        <v>1032</v>
      </c>
    </row>
    <row r="158" spans="1:7" x14ac:dyDescent="0.35">
      <c r="A158" s="6" t="s">
        <v>1033</v>
      </c>
      <c r="B158" t="s">
        <v>1034</v>
      </c>
    </row>
    <row r="159" spans="1:7" x14ac:dyDescent="0.35">
      <c r="A159" s="17" t="s">
        <v>1035</v>
      </c>
      <c r="B159" s="6" t="s">
        <v>1036</v>
      </c>
    </row>
    <row r="161" spans="1:7" x14ac:dyDescent="0.35">
      <c r="A161" s="86" t="s">
        <v>1037</v>
      </c>
      <c r="B161" s="85"/>
      <c r="C161" s="85"/>
      <c r="D161" s="85"/>
      <c r="E161" s="85"/>
      <c r="F161" s="85"/>
      <c r="G161" s="85"/>
    </row>
    <row r="162" spans="1:7" x14ac:dyDescent="0.35">
      <c r="A162" t="s">
        <v>1038</v>
      </c>
      <c r="B162" s="57" t="s">
        <v>1039</v>
      </c>
      <c r="C162" t="s">
        <v>1040</v>
      </c>
    </row>
    <row r="163" spans="1:7" x14ac:dyDescent="0.35">
      <c r="A163" t="s">
        <v>1041</v>
      </c>
      <c r="B163" s="90" t="s">
        <v>1042</v>
      </c>
      <c r="C163" t="s">
        <v>1043</v>
      </c>
    </row>
    <row r="164" spans="1:7" x14ac:dyDescent="0.35">
      <c r="A164" t="s">
        <v>1044</v>
      </c>
      <c r="B164" s="57" t="s">
        <v>1045</v>
      </c>
      <c r="C164" t="s">
        <v>1046</v>
      </c>
    </row>
    <row r="165" spans="1:7" x14ac:dyDescent="0.35">
      <c r="A165" t="s">
        <v>1047</v>
      </c>
      <c r="B165" s="57" t="s">
        <v>1039</v>
      </c>
      <c r="C165" t="s">
        <v>1048</v>
      </c>
    </row>
    <row r="167" spans="1:7" x14ac:dyDescent="0.35">
      <c r="A167" s="83" t="s">
        <v>1049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9021-7B67-4184-AE95-30FA7692BD0B}">
  <dimension ref="A1:E504"/>
  <sheetViews>
    <sheetView workbookViewId="0">
      <selection activeCell="A36" sqref="A36"/>
    </sheetView>
  </sheetViews>
  <sheetFormatPr defaultRowHeight="14.5" x14ac:dyDescent="0.35"/>
  <cols>
    <col min="1" max="1" width="76.1796875" customWidth="1"/>
    <col min="2" max="2" width="95.26953125" customWidth="1"/>
    <col min="5" max="5" width="242.81640625" bestFit="1" customWidth="1"/>
  </cols>
  <sheetData>
    <row r="1" spans="1:5" ht="18.5" x14ac:dyDescent="0.45">
      <c r="A1" s="84" t="s">
        <v>591</v>
      </c>
      <c r="B1" s="85"/>
      <c r="E1" t="s">
        <v>632</v>
      </c>
    </row>
    <row r="2" spans="1:5" x14ac:dyDescent="0.35">
      <c r="A2" s="78" t="s">
        <v>592</v>
      </c>
      <c r="E2" t="s">
        <v>633</v>
      </c>
    </row>
    <row r="3" spans="1:5" x14ac:dyDescent="0.35">
      <c r="E3" t="s">
        <v>634</v>
      </c>
    </row>
    <row r="4" spans="1:5" x14ac:dyDescent="0.35">
      <c r="A4" s="2" t="s">
        <v>593</v>
      </c>
      <c r="B4" s="25"/>
      <c r="E4" t="s">
        <v>635</v>
      </c>
    </row>
    <row r="5" spans="1:5" x14ac:dyDescent="0.35">
      <c r="A5" t="s">
        <v>594</v>
      </c>
      <c r="E5" t="s">
        <v>636</v>
      </c>
    </row>
    <row r="6" spans="1:5" x14ac:dyDescent="0.35">
      <c r="A6" t="s">
        <v>595</v>
      </c>
      <c r="E6" t="s">
        <v>633</v>
      </c>
    </row>
    <row r="7" spans="1:5" x14ac:dyDescent="0.35">
      <c r="A7" t="s">
        <v>596</v>
      </c>
    </row>
    <row r="8" spans="1:5" x14ac:dyDescent="0.35">
      <c r="A8" t="s">
        <v>597</v>
      </c>
      <c r="E8" t="s">
        <v>637</v>
      </c>
    </row>
    <row r="9" spans="1:5" x14ac:dyDescent="0.35">
      <c r="A9" t="s">
        <v>598</v>
      </c>
      <c r="E9" t="s">
        <v>638</v>
      </c>
    </row>
    <row r="10" spans="1:5" x14ac:dyDescent="0.35">
      <c r="A10" t="s">
        <v>599</v>
      </c>
      <c r="B10" s="80" t="s">
        <v>600</v>
      </c>
      <c r="E10" t="s">
        <v>639</v>
      </c>
    </row>
    <row r="11" spans="1:5" x14ac:dyDescent="0.35">
      <c r="E11" t="s">
        <v>640</v>
      </c>
    </row>
    <row r="12" spans="1:5" x14ac:dyDescent="0.35">
      <c r="A12" s="2" t="s">
        <v>601</v>
      </c>
      <c r="B12" s="25"/>
      <c r="E12" t="s">
        <v>641</v>
      </c>
    </row>
    <row r="13" spans="1:5" x14ac:dyDescent="0.35">
      <c r="A13" s="30" t="s">
        <v>602</v>
      </c>
      <c r="B13" s="30" t="s">
        <v>603</v>
      </c>
      <c r="E13" t="s">
        <v>642</v>
      </c>
    </row>
    <row r="14" spans="1:5" x14ac:dyDescent="0.35">
      <c r="A14" t="s">
        <v>604</v>
      </c>
      <c r="B14" t="s">
        <v>605</v>
      </c>
      <c r="E14" t="s">
        <v>643</v>
      </c>
    </row>
    <row r="15" spans="1:5" x14ac:dyDescent="0.35">
      <c r="A15" t="s">
        <v>606</v>
      </c>
      <c r="B15" t="s">
        <v>607</v>
      </c>
      <c r="E15" t="s">
        <v>644</v>
      </c>
    </row>
    <row r="16" spans="1:5" x14ac:dyDescent="0.35">
      <c r="A16" t="s">
        <v>608</v>
      </c>
      <c r="B16" t="s">
        <v>609</v>
      </c>
      <c r="E16" t="s">
        <v>645</v>
      </c>
    </row>
    <row r="17" spans="1:5" x14ac:dyDescent="0.35">
      <c r="A17" t="s">
        <v>610</v>
      </c>
      <c r="B17" t="s">
        <v>611</v>
      </c>
      <c r="E17" t="s">
        <v>646</v>
      </c>
    </row>
    <row r="18" spans="1:5" x14ac:dyDescent="0.35">
      <c r="A18" t="s">
        <v>612</v>
      </c>
      <c r="B18" t="s">
        <v>613</v>
      </c>
    </row>
    <row r="19" spans="1:5" x14ac:dyDescent="0.35">
      <c r="A19" t="s">
        <v>614</v>
      </c>
      <c r="B19" t="s">
        <v>615</v>
      </c>
      <c r="E19" t="s">
        <v>633</v>
      </c>
    </row>
    <row r="20" spans="1:5" x14ac:dyDescent="0.35">
      <c r="E20" t="s">
        <v>647</v>
      </c>
    </row>
    <row r="21" spans="1:5" x14ac:dyDescent="0.35">
      <c r="A21" s="2" t="s">
        <v>616</v>
      </c>
      <c r="B21" s="25"/>
      <c r="E21" t="s">
        <v>633</v>
      </c>
    </row>
    <row r="22" spans="1:5" x14ac:dyDescent="0.35">
      <c r="A22" s="30" t="s">
        <v>617</v>
      </c>
      <c r="B22" s="30" t="s">
        <v>618</v>
      </c>
    </row>
    <row r="23" spans="1:5" x14ac:dyDescent="0.35">
      <c r="A23" t="s">
        <v>619</v>
      </c>
      <c r="B23" t="s">
        <v>620</v>
      </c>
      <c r="E23" t="s">
        <v>648</v>
      </c>
    </row>
    <row r="24" spans="1:5" x14ac:dyDescent="0.35">
      <c r="A24" t="s">
        <v>621</v>
      </c>
      <c r="B24" t="s">
        <v>622</v>
      </c>
      <c r="E24" t="s">
        <v>649</v>
      </c>
    </row>
    <row r="25" spans="1:5" x14ac:dyDescent="0.35">
      <c r="A25" t="s">
        <v>623</v>
      </c>
      <c r="B25" t="s">
        <v>624</v>
      </c>
      <c r="E25" t="s">
        <v>650</v>
      </c>
    </row>
    <row r="26" spans="1:5" x14ac:dyDescent="0.35">
      <c r="A26" t="s">
        <v>625</v>
      </c>
      <c r="B26" t="s">
        <v>626</v>
      </c>
      <c r="E26" t="s">
        <v>651</v>
      </c>
    </row>
    <row r="27" spans="1:5" x14ac:dyDescent="0.35">
      <c r="A27" t="s">
        <v>627</v>
      </c>
      <c r="B27" t="s">
        <v>628</v>
      </c>
      <c r="E27" t="s">
        <v>652</v>
      </c>
    </row>
    <row r="28" spans="1:5" x14ac:dyDescent="0.35">
      <c r="E28" t="s">
        <v>653</v>
      </c>
    </row>
    <row r="29" spans="1:5" x14ac:dyDescent="0.35">
      <c r="A29" s="87" t="s">
        <v>629</v>
      </c>
      <c r="B29" s="76"/>
      <c r="E29" t="s">
        <v>654</v>
      </c>
    </row>
    <row r="30" spans="1:5" x14ac:dyDescent="0.35">
      <c r="A30" t="s">
        <v>630</v>
      </c>
      <c r="B30" t="s">
        <v>631</v>
      </c>
      <c r="E30" t="s">
        <v>655</v>
      </c>
    </row>
    <row r="31" spans="1:5" x14ac:dyDescent="0.35">
      <c r="E31" t="s">
        <v>656</v>
      </c>
    </row>
    <row r="32" spans="1:5" x14ac:dyDescent="0.35">
      <c r="E32" t="s">
        <v>657</v>
      </c>
    </row>
    <row r="33" spans="5:5" x14ac:dyDescent="0.35">
      <c r="E33" t="s">
        <v>658</v>
      </c>
    </row>
    <row r="34" spans="5:5" x14ac:dyDescent="0.35">
      <c r="E34" t="s">
        <v>659</v>
      </c>
    </row>
    <row r="35" spans="5:5" x14ac:dyDescent="0.35">
      <c r="E35" t="s">
        <v>660</v>
      </c>
    </row>
    <row r="37" spans="5:5" x14ac:dyDescent="0.35">
      <c r="E37" t="s">
        <v>661</v>
      </c>
    </row>
    <row r="38" spans="5:5" x14ac:dyDescent="0.35">
      <c r="E38" t="s">
        <v>662</v>
      </c>
    </row>
    <row r="39" spans="5:5" x14ac:dyDescent="0.35">
      <c r="E39" t="s">
        <v>663</v>
      </c>
    </row>
    <row r="40" spans="5:5" x14ac:dyDescent="0.35">
      <c r="E40" t="s">
        <v>664</v>
      </c>
    </row>
    <row r="42" spans="5:5" x14ac:dyDescent="0.35">
      <c r="E42" t="s">
        <v>665</v>
      </c>
    </row>
    <row r="43" spans="5:5" x14ac:dyDescent="0.35">
      <c r="E43" t="s">
        <v>666</v>
      </c>
    </row>
    <row r="44" spans="5:5" x14ac:dyDescent="0.35">
      <c r="E44" t="s">
        <v>667</v>
      </c>
    </row>
    <row r="45" spans="5:5" x14ac:dyDescent="0.35">
      <c r="E45" t="s">
        <v>668</v>
      </c>
    </row>
    <row r="46" spans="5:5" x14ac:dyDescent="0.35">
      <c r="E46" t="s">
        <v>669</v>
      </c>
    </row>
    <row r="47" spans="5:5" x14ac:dyDescent="0.35">
      <c r="E47" t="s">
        <v>670</v>
      </c>
    </row>
    <row r="49" spans="5:5" x14ac:dyDescent="0.35">
      <c r="E49" t="s">
        <v>671</v>
      </c>
    </row>
    <row r="50" spans="5:5" x14ac:dyDescent="0.35">
      <c r="E50" t="s">
        <v>672</v>
      </c>
    </row>
    <row r="51" spans="5:5" x14ac:dyDescent="0.35">
      <c r="E51" t="s">
        <v>673</v>
      </c>
    </row>
    <row r="52" spans="5:5" x14ac:dyDescent="0.35">
      <c r="E52" t="s">
        <v>674</v>
      </c>
    </row>
    <row r="53" spans="5:5" x14ac:dyDescent="0.35">
      <c r="E53" t="s">
        <v>675</v>
      </c>
    </row>
    <row r="54" spans="5:5" x14ac:dyDescent="0.35">
      <c r="E54" t="s">
        <v>676</v>
      </c>
    </row>
    <row r="55" spans="5:5" x14ac:dyDescent="0.35">
      <c r="E55" t="s">
        <v>677</v>
      </c>
    </row>
    <row r="58" spans="5:5" x14ac:dyDescent="0.35">
      <c r="E58" t="s">
        <v>633</v>
      </c>
    </row>
    <row r="59" spans="5:5" x14ac:dyDescent="0.35">
      <c r="E59" t="s">
        <v>678</v>
      </c>
    </row>
    <row r="60" spans="5:5" x14ac:dyDescent="0.35">
      <c r="E60" t="s">
        <v>633</v>
      </c>
    </row>
    <row r="62" spans="5:5" x14ac:dyDescent="0.35">
      <c r="E62" t="s">
        <v>679</v>
      </c>
    </row>
    <row r="63" spans="5:5" x14ac:dyDescent="0.35">
      <c r="E63" t="s">
        <v>680</v>
      </c>
    </row>
    <row r="64" spans="5:5" x14ac:dyDescent="0.35">
      <c r="E64" t="s">
        <v>681</v>
      </c>
    </row>
    <row r="66" spans="5:5" x14ac:dyDescent="0.35">
      <c r="E66" t="s">
        <v>682</v>
      </c>
    </row>
    <row r="67" spans="5:5" x14ac:dyDescent="0.35">
      <c r="E67" t="s">
        <v>683</v>
      </c>
    </row>
    <row r="68" spans="5:5" x14ac:dyDescent="0.35">
      <c r="E68" t="s">
        <v>684</v>
      </c>
    </row>
    <row r="69" spans="5:5" x14ac:dyDescent="0.35">
      <c r="E69" t="s">
        <v>685</v>
      </c>
    </row>
    <row r="71" spans="5:5" x14ac:dyDescent="0.35">
      <c r="E71" t="s">
        <v>686</v>
      </c>
    </row>
    <row r="72" spans="5:5" x14ac:dyDescent="0.35">
      <c r="E72" t="s">
        <v>687</v>
      </c>
    </row>
    <row r="73" spans="5:5" x14ac:dyDescent="0.35">
      <c r="E73" t="s">
        <v>688</v>
      </c>
    </row>
    <row r="75" spans="5:5" x14ac:dyDescent="0.35">
      <c r="E75" t="s">
        <v>689</v>
      </c>
    </row>
    <row r="76" spans="5:5" x14ac:dyDescent="0.35">
      <c r="E76" t="s">
        <v>690</v>
      </c>
    </row>
    <row r="77" spans="5:5" x14ac:dyDescent="0.35">
      <c r="E77" t="s">
        <v>691</v>
      </c>
    </row>
    <row r="78" spans="5:5" x14ac:dyDescent="0.35">
      <c r="E78" t="s">
        <v>692</v>
      </c>
    </row>
    <row r="79" spans="5:5" x14ac:dyDescent="0.35">
      <c r="E79" t="s">
        <v>693</v>
      </c>
    </row>
    <row r="81" spans="5:5" x14ac:dyDescent="0.35">
      <c r="E81" t="s">
        <v>694</v>
      </c>
    </row>
    <row r="82" spans="5:5" x14ac:dyDescent="0.35">
      <c r="E82" t="s">
        <v>695</v>
      </c>
    </row>
    <row r="83" spans="5:5" x14ac:dyDescent="0.35">
      <c r="E83" t="s">
        <v>696</v>
      </c>
    </row>
    <row r="84" spans="5:5" x14ac:dyDescent="0.35">
      <c r="E84" t="s">
        <v>697</v>
      </c>
    </row>
    <row r="85" spans="5:5" x14ac:dyDescent="0.35">
      <c r="E85" t="s">
        <v>698</v>
      </c>
    </row>
    <row r="86" spans="5:5" x14ac:dyDescent="0.35">
      <c r="E86" t="s">
        <v>699</v>
      </c>
    </row>
    <row r="87" spans="5:5" x14ac:dyDescent="0.35">
      <c r="E87" t="s">
        <v>700</v>
      </c>
    </row>
    <row r="88" spans="5:5" x14ac:dyDescent="0.35">
      <c r="E88" t="s">
        <v>701</v>
      </c>
    </row>
    <row r="89" spans="5:5" x14ac:dyDescent="0.35">
      <c r="E89" t="s">
        <v>702</v>
      </c>
    </row>
    <row r="91" spans="5:5" x14ac:dyDescent="0.35">
      <c r="E91" t="s">
        <v>703</v>
      </c>
    </row>
    <row r="92" spans="5:5" x14ac:dyDescent="0.35">
      <c r="E92" t="s">
        <v>704</v>
      </c>
    </row>
    <row r="93" spans="5:5" x14ac:dyDescent="0.35">
      <c r="E93" t="s">
        <v>705</v>
      </c>
    </row>
    <row r="94" spans="5:5" x14ac:dyDescent="0.35">
      <c r="E94" t="s">
        <v>706</v>
      </c>
    </row>
    <row r="95" spans="5:5" x14ac:dyDescent="0.35">
      <c r="E95" t="s">
        <v>707</v>
      </c>
    </row>
    <row r="96" spans="5:5" x14ac:dyDescent="0.35">
      <c r="E96" t="s">
        <v>708</v>
      </c>
    </row>
    <row r="98" spans="5:5" x14ac:dyDescent="0.35">
      <c r="E98" t="s">
        <v>709</v>
      </c>
    </row>
    <row r="99" spans="5:5" x14ac:dyDescent="0.35">
      <c r="E99" t="s">
        <v>710</v>
      </c>
    </row>
    <row r="101" spans="5:5" x14ac:dyDescent="0.35">
      <c r="E101" t="s">
        <v>711</v>
      </c>
    </row>
    <row r="102" spans="5:5" x14ac:dyDescent="0.35">
      <c r="E102" t="s">
        <v>712</v>
      </c>
    </row>
    <row r="105" spans="5:5" x14ac:dyDescent="0.35">
      <c r="E105" t="s">
        <v>633</v>
      </c>
    </row>
    <row r="106" spans="5:5" x14ac:dyDescent="0.35">
      <c r="E106" t="s">
        <v>713</v>
      </c>
    </row>
    <row r="107" spans="5:5" x14ac:dyDescent="0.35">
      <c r="E107" t="s">
        <v>633</v>
      </c>
    </row>
    <row r="109" spans="5:5" x14ac:dyDescent="0.35">
      <c r="E109" t="s">
        <v>714</v>
      </c>
    </row>
    <row r="110" spans="5:5" x14ac:dyDescent="0.35">
      <c r="E110" t="s">
        <v>715</v>
      </c>
    </row>
    <row r="112" spans="5:5" x14ac:dyDescent="0.35">
      <c r="E112" t="s">
        <v>716</v>
      </c>
    </row>
    <row r="113" spans="5:5" x14ac:dyDescent="0.35">
      <c r="E113" t="s">
        <v>717</v>
      </c>
    </row>
    <row r="115" spans="5:5" x14ac:dyDescent="0.35">
      <c r="E115" t="s">
        <v>718</v>
      </c>
    </row>
    <row r="117" spans="5:5" x14ac:dyDescent="0.35">
      <c r="E117" t="s">
        <v>719</v>
      </c>
    </row>
    <row r="118" spans="5:5" x14ac:dyDescent="0.35">
      <c r="E118" t="s">
        <v>720</v>
      </c>
    </row>
    <row r="119" spans="5:5" x14ac:dyDescent="0.35">
      <c r="E119" t="s">
        <v>721</v>
      </c>
    </row>
    <row r="120" spans="5:5" x14ac:dyDescent="0.35">
      <c r="E120" t="s">
        <v>722</v>
      </c>
    </row>
    <row r="121" spans="5:5" x14ac:dyDescent="0.35">
      <c r="E121" t="s">
        <v>723</v>
      </c>
    </row>
    <row r="123" spans="5:5" x14ac:dyDescent="0.35">
      <c r="E123" t="s">
        <v>724</v>
      </c>
    </row>
    <row r="124" spans="5:5" x14ac:dyDescent="0.35">
      <c r="E124" t="s">
        <v>725</v>
      </c>
    </row>
    <row r="125" spans="5:5" x14ac:dyDescent="0.35">
      <c r="E125" t="s">
        <v>726</v>
      </c>
    </row>
    <row r="126" spans="5:5" x14ac:dyDescent="0.35">
      <c r="E126" t="s">
        <v>727</v>
      </c>
    </row>
    <row r="127" spans="5:5" x14ac:dyDescent="0.35">
      <c r="E127" t="s">
        <v>728</v>
      </c>
    </row>
    <row r="128" spans="5:5" x14ac:dyDescent="0.35">
      <c r="E128" t="s">
        <v>729</v>
      </c>
    </row>
    <row r="129" spans="5:5" x14ac:dyDescent="0.35">
      <c r="E129" t="s">
        <v>730</v>
      </c>
    </row>
    <row r="131" spans="5:5" x14ac:dyDescent="0.35">
      <c r="E131" t="s">
        <v>731</v>
      </c>
    </row>
    <row r="132" spans="5:5" x14ac:dyDescent="0.35">
      <c r="E132" t="s">
        <v>732</v>
      </c>
    </row>
    <row r="135" spans="5:5" x14ac:dyDescent="0.35">
      <c r="E135" t="s">
        <v>633</v>
      </c>
    </row>
    <row r="136" spans="5:5" x14ac:dyDescent="0.35">
      <c r="E136" t="s">
        <v>733</v>
      </c>
    </row>
    <row r="137" spans="5:5" x14ac:dyDescent="0.35">
      <c r="E137" t="s">
        <v>633</v>
      </c>
    </row>
    <row r="139" spans="5:5" x14ac:dyDescent="0.35">
      <c r="E139" t="s">
        <v>734</v>
      </c>
    </row>
    <row r="140" spans="5:5" x14ac:dyDescent="0.35">
      <c r="E140" t="s">
        <v>735</v>
      </c>
    </row>
    <row r="141" spans="5:5" x14ac:dyDescent="0.35">
      <c r="E141" t="s">
        <v>736</v>
      </c>
    </row>
    <row r="142" spans="5:5" x14ac:dyDescent="0.35">
      <c r="E142" t="s">
        <v>737</v>
      </c>
    </row>
    <row r="143" spans="5:5" x14ac:dyDescent="0.35">
      <c r="E143" t="s">
        <v>738</v>
      </c>
    </row>
    <row r="145" spans="5:5" x14ac:dyDescent="0.35">
      <c r="E145" t="s">
        <v>739</v>
      </c>
    </row>
    <row r="146" spans="5:5" x14ac:dyDescent="0.35">
      <c r="E146" t="s">
        <v>740</v>
      </c>
    </row>
    <row r="147" spans="5:5" x14ac:dyDescent="0.35">
      <c r="E147" t="s">
        <v>741</v>
      </c>
    </row>
    <row r="148" spans="5:5" x14ac:dyDescent="0.35">
      <c r="E148" t="s">
        <v>742</v>
      </c>
    </row>
    <row r="149" spans="5:5" x14ac:dyDescent="0.35">
      <c r="E149" t="s">
        <v>743</v>
      </c>
    </row>
    <row r="151" spans="5:5" x14ac:dyDescent="0.35">
      <c r="E151" t="s">
        <v>744</v>
      </c>
    </row>
    <row r="152" spans="5:5" x14ac:dyDescent="0.35">
      <c r="E152" t="s">
        <v>745</v>
      </c>
    </row>
    <row r="153" spans="5:5" x14ac:dyDescent="0.35">
      <c r="E153" t="s">
        <v>746</v>
      </c>
    </row>
    <row r="154" spans="5:5" x14ac:dyDescent="0.35">
      <c r="E154" t="s">
        <v>747</v>
      </c>
    </row>
    <row r="155" spans="5:5" x14ac:dyDescent="0.35">
      <c r="E155" t="s">
        <v>748</v>
      </c>
    </row>
    <row r="157" spans="5:5" x14ac:dyDescent="0.35">
      <c r="E157" t="s">
        <v>749</v>
      </c>
    </row>
    <row r="158" spans="5:5" x14ac:dyDescent="0.35">
      <c r="E158" t="s">
        <v>750</v>
      </c>
    </row>
    <row r="161" spans="5:5" x14ac:dyDescent="0.35">
      <c r="E161" t="s">
        <v>633</v>
      </c>
    </row>
    <row r="162" spans="5:5" x14ac:dyDescent="0.35">
      <c r="E162" t="s">
        <v>751</v>
      </c>
    </row>
    <row r="163" spans="5:5" x14ac:dyDescent="0.35">
      <c r="E163" t="s">
        <v>633</v>
      </c>
    </row>
    <row r="165" spans="5:5" x14ac:dyDescent="0.35">
      <c r="E165" t="s">
        <v>752</v>
      </c>
    </row>
    <row r="166" spans="5:5" x14ac:dyDescent="0.35">
      <c r="E166" t="s">
        <v>753</v>
      </c>
    </row>
    <row r="167" spans="5:5" x14ac:dyDescent="0.35">
      <c r="E167" t="s">
        <v>754</v>
      </c>
    </row>
    <row r="168" spans="5:5" x14ac:dyDescent="0.35">
      <c r="E168" t="s">
        <v>755</v>
      </c>
    </row>
    <row r="170" spans="5:5" x14ac:dyDescent="0.35">
      <c r="E170" t="s">
        <v>756</v>
      </c>
    </row>
    <row r="171" spans="5:5" x14ac:dyDescent="0.35">
      <c r="E171" t="s">
        <v>757</v>
      </c>
    </row>
    <row r="172" spans="5:5" x14ac:dyDescent="0.35">
      <c r="E172" t="s">
        <v>758</v>
      </c>
    </row>
    <row r="174" spans="5:5" x14ac:dyDescent="0.35">
      <c r="E174" t="s">
        <v>759</v>
      </c>
    </row>
    <row r="176" spans="5:5" x14ac:dyDescent="0.35">
      <c r="E176" t="s">
        <v>760</v>
      </c>
    </row>
    <row r="177" spans="5:5" x14ac:dyDescent="0.35">
      <c r="E177" t="s">
        <v>761</v>
      </c>
    </row>
    <row r="178" spans="5:5" x14ac:dyDescent="0.35">
      <c r="E178" t="s">
        <v>762</v>
      </c>
    </row>
    <row r="179" spans="5:5" x14ac:dyDescent="0.35">
      <c r="E179" t="s">
        <v>763</v>
      </c>
    </row>
    <row r="181" spans="5:5" x14ac:dyDescent="0.35">
      <c r="E181" t="s">
        <v>764</v>
      </c>
    </row>
    <row r="182" spans="5:5" x14ac:dyDescent="0.35">
      <c r="E182" t="s">
        <v>765</v>
      </c>
    </row>
    <row r="183" spans="5:5" x14ac:dyDescent="0.35">
      <c r="E183" t="s">
        <v>766</v>
      </c>
    </row>
    <row r="184" spans="5:5" x14ac:dyDescent="0.35">
      <c r="E184" t="s">
        <v>767</v>
      </c>
    </row>
    <row r="185" spans="5:5" x14ac:dyDescent="0.35">
      <c r="E185" t="s">
        <v>768</v>
      </c>
    </row>
    <row r="186" spans="5:5" x14ac:dyDescent="0.35">
      <c r="E186" t="s">
        <v>769</v>
      </c>
    </row>
    <row r="188" spans="5:5" x14ac:dyDescent="0.35">
      <c r="E188" t="s">
        <v>770</v>
      </c>
    </row>
    <row r="189" spans="5:5" x14ac:dyDescent="0.35">
      <c r="E189" t="s">
        <v>771</v>
      </c>
    </row>
    <row r="190" spans="5:5" x14ac:dyDescent="0.35">
      <c r="E190" t="s">
        <v>772</v>
      </c>
    </row>
    <row r="191" spans="5:5" x14ac:dyDescent="0.35">
      <c r="E191" t="s">
        <v>773</v>
      </c>
    </row>
    <row r="194" spans="5:5" x14ac:dyDescent="0.35">
      <c r="E194" t="s">
        <v>633</v>
      </c>
    </row>
    <row r="195" spans="5:5" x14ac:dyDescent="0.35">
      <c r="E195" t="s">
        <v>774</v>
      </c>
    </row>
    <row r="196" spans="5:5" x14ac:dyDescent="0.35">
      <c r="E196" t="s">
        <v>633</v>
      </c>
    </row>
    <row r="198" spans="5:5" x14ac:dyDescent="0.35">
      <c r="E198" t="s">
        <v>775</v>
      </c>
    </row>
    <row r="199" spans="5:5" x14ac:dyDescent="0.35">
      <c r="E199" t="s">
        <v>776</v>
      </c>
    </row>
    <row r="201" spans="5:5" x14ac:dyDescent="0.35">
      <c r="E201" t="s">
        <v>777</v>
      </c>
    </row>
    <row r="203" spans="5:5" x14ac:dyDescent="0.35">
      <c r="E203" t="s">
        <v>778</v>
      </c>
    </row>
    <row r="204" spans="5:5" x14ac:dyDescent="0.35">
      <c r="E204" t="s">
        <v>779</v>
      </c>
    </row>
    <row r="206" spans="5:5" x14ac:dyDescent="0.35">
      <c r="E206" t="s">
        <v>780</v>
      </c>
    </row>
    <row r="207" spans="5:5" x14ac:dyDescent="0.35">
      <c r="E207" t="s">
        <v>781</v>
      </c>
    </row>
    <row r="209" spans="5:5" x14ac:dyDescent="0.35">
      <c r="E209" t="s">
        <v>782</v>
      </c>
    </row>
    <row r="212" spans="5:5" x14ac:dyDescent="0.35">
      <c r="E212" t="s">
        <v>633</v>
      </c>
    </row>
    <row r="213" spans="5:5" x14ac:dyDescent="0.35">
      <c r="E213" t="s">
        <v>783</v>
      </c>
    </row>
    <row r="214" spans="5:5" x14ac:dyDescent="0.35">
      <c r="E214" t="s">
        <v>633</v>
      </c>
    </row>
    <row r="216" spans="5:5" x14ac:dyDescent="0.35">
      <c r="E216" t="s">
        <v>784</v>
      </c>
    </row>
    <row r="217" spans="5:5" x14ac:dyDescent="0.35">
      <c r="E217" t="s">
        <v>785</v>
      </c>
    </row>
    <row r="218" spans="5:5" x14ac:dyDescent="0.35">
      <c r="E218" t="s">
        <v>786</v>
      </c>
    </row>
    <row r="220" spans="5:5" x14ac:dyDescent="0.35">
      <c r="E220" t="s">
        <v>787</v>
      </c>
    </row>
    <row r="221" spans="5:5" x14ac:dyDescent="0.35">
      <c r="E221" t="s">
        <v>788</v>
      </c>
    </row>
    <row r="222" spans="5:5" x14ac:dyDescent="0.35">
      <c r="E222" t="s">
        <v>789</v>
      </c>
    </row>
    <row r="224" spans="5:5" x14ac:dyDescent="0.35">
      <c r="E224" t="s">
        <v>790</v>
      </c>
    </row>
    <row r="225" spans="5:5" x14ac:dyDescent="0.35">
      <c r="E225" t="s">
        <v>791</v>
      </c>
    </row>
    <row r="226" spans="5:5" x14ac:dyDescent="0.35">
      <c r="E226" t="s">
        <v>792</v>
      </c>
    </row>
    <row r="227" spans="5:5" x14ac:dyDescent="0.35">
      <c r="E227" t="s">
        <v>793</v>
      </c>
    </row>
    <row r="229" spans="5:5" x14ac:dyDescent="0.35">
      <c r="E229" t="s">
        <v>794</v>
      </c>
    </row>
    <row r="230" spans="5:5" x14ac:dyDescent="0.35">
      <c r="E230" t="s">
        <v>795</v>
      </c>
    </row>
    <row r="231" spans="5:5" x14ac:dyDescent="0.35">
      <c r="E231" t="s">
        <v>796</v>
      </c>
    </row>
    <row r="232" spans="5:5" x14ac:dyDescent="0.35">
      <c r="E232" t="s">
        <v>797</v>
      </c>
    </row>
    <row r="233" spans="5:5" x14ac:dyDescent="0.35">
      <c r="E233" t="s">
        <v>798</v>
      </c>
    </row>
    <row r="234" spans="5:5" x14ac:dyDescent="0.35">
      <c r="E234" t="s">
        <v>799</v>
      </c>
    </row>
    <row r="236" spans="5:5" x14ac:dyDescent="0.35">
      <c r="E236" t="s">
        <v>800</v>
      </c>
    </row>
    <row r="237" spans="5:5" x14ac:dyDescent="0.35">
      <c r="E237" t="s">
        <v>801</v>
      </c>
    </row>
    <row r="238" spans="5:5" x14ac:dyDescent="0.35">
      <c r="E238" t="s">
        <v>802</v>
      </c>
    </row>
    <row r="239" spans="5:5" x14ac:dyDescent="0.35">
      <c r="E239" t="s">
        <v>803</v>
      </c>
    </row>
    <row r="240" spans="5:5" x14ac:dyDescent="0.35">
      <c r="E240" t="s">
        <v>804</v>
      </c>
    </row>
    <row r="243" spans="5:5" x14ac:dyDescent="0.35">
      <c r="E243" t="s">
        <v>633</v>
      </c>
    </row>
    <row r="244" spans="5:5" x14ac:dyDescent="0.35">
      <c r="E244" t="s">
        <v>805</v>
      </c>
    </row>
    <row r="245" spans="5:5" x14ac:dyDescent="0.35">
      <c r="E245" t="s">
        <v>633</v>
      </c>
    </row>
    <row r="247" spans="5:5" x14ac:dyDescent="0.35">
      <c r="E247" t="s">
        <v>806</v>
      </c>
    </row>
    <row r="248" spans="5:5" x14ac:dyDescent="0.35">
      <c r="E248" t="s">
        <v>807</v>
      </c>
    </row>
    <row r="249" spans="5:5" x14ac:dyDescent="0.35">
      <c r="E249" t="s">
        <v>808</v>
      </c>
    </row>
    <row r="250" spans="5:5" x14ac:dyDescent="0.35">
      <c r="E250" t="s">
        <v>809</v>
      </c>
    </row>
    <row r="251" spans="5:5" x14ac:dyDescent="0.35">
      <c r="E251" t="s">
        <v>810</v>
      </c>
    </row>
    <row r="252" spans="5:5" x14ac:dyDescent="0.35">
      <c r="E252" t="s">
        <v>811</v>
      </c>
    </row>
    <row r="253" spans="5:5" x14ac:dyDescent="0.35">
      <c r="E253" t="s">
        <v>812</v>
      </c>
    </row>
    <row r="254" spans="5:5" x14ac:dyDescent="0.35">
      <c r="E254" t="s">
        <v>813</v>
      </c>
    </row>
    <row r="255" spans="5:5" x14ac:dyDescent="0.35">
      <c r="E255" t="s">
        <v>814</v>
      </c>
    </row>
    <row r="256" spans="5:5" x14ac:dyDescent="0.35">
      <c r="E256" t="s">
        <v>815</v>
      </c>
    </row>
    <row r="257" spans="5:5" x14ac:dyDescent="0.35">
      <c r="E257" t="s">
        <v>816</v>
      </c>
    </row>
    <row r="258" spans="5:5" x14ac:dyDescent="0.35">
      <c r="E258" t="s">
        <v>813</v>
      </c>
    </row>
    <row r="259" spans="5:5" x14ac:dyDescent="0.35">
      <c r="E259" t="s">
        <v>817</v>
      </c>
    </row>
    <row r="260" spans="5:5" x14ac:dyDescent="0.35">
      <c r="E260" t="s">
        <v>818</v>
      </c>
    </row>
    <row r="261" spans="5:5" x14ac:dyDescent="0.35">
      <c r="E261" t="s">
        <v>819</v>
      </c>
    </row>
    <row r="262" spans="5:5" x14ac:dyDescent="0.35">
      <c r="E262" t="s">
        <v>813</v>
      </c>
    </row>
    <row r="263" spans="5:5" x14ac:dyDescent="0.35">
      <c r="E263" t="s">
        <v>820</v>
      </c>
    </row>
    <row r="264" spans="5:5" x14ac:dyDescent="0.35">
      <c r="E264" t="s">
        <v>821</v>
      </c>
    </row>
    <row r="265" spans="5:5" x14ac:dyDescent="0.35">
      <c r="E265" t="s">
        <v>822</v>
      </c>
    </row>
    <row r="266" spans="5:5" x14ac:dyDescent="0.35">
      <c r="E266" t="s">
        <v>813</v>
      </c>
    </row>
    <row r="267" spans="5:5" x14ac:dyDescent="0.35">
      <c r="E267" t="s">
        <v>823</v>
      </c>
    </row>
    <row r="268" spans="5:5" x14ac:dyDescent="0.35">
      <c r="E268" t="s">
        <v>824</v>
      </c>
    </row>
    <row r="269" spans="5:5" x14ac:dyDescent="0.35">
      <c r="E269" t="s">
        <v>825</v>
      </c>
    </row>
    <row r="270" spans="5:5" x14ac:dyDescent="0.35">
      <c r="E270" t="s">
        <v>813</v>
      </c>
    </row>
    <row r="271" spans="5:5" x14ac:dyDescent="0.35">
      <c r="E271" t="s">
        <v>826</v>
      </c>
    </row>
    <row r="272" spans="5:5" x14ac:dyDescent="0.35">
      <c r="E272" t="s">
        <v>827</v>
      </c>
    </row>
    <row r="273" spans="5:5" x14ac:dyDescent="0.35">
      <c r="E273" t="s">
        <v>828</v>
      </c>
    </row>
    <row r="274" spans="5:5" x14ac:dyDescent="0.35">
      <c r="E274" t="s">
        <v>813</v>
      </c>
    </row>
    <row r="275" spans="5:5" x14ac:dyDescent="0.35">
      <c r="E275" t="s">
        <v>829</v>
      </c>
    </row>
    <row r="276" spans="5:5" x14ac:dyDescent="0.35">
      <c r="E276" t="s">
        <v>830</v>
      </c>
    </row>
    <row r="277" spans="5:5" x14ac:dyDescent="0.35">
      <c r="E277" t="s">
        <v>831</v>
      </c>
    </row>
    <row r="278" spans="5:5" x14ac:dyDescent="0.35">
      <c r="E278" t="s">
        <v>813</v>
      </c>
    </row>
    <row r="279" spans="5:5" x14ac:dyDescent="0.35">
      <c r="E279" t="s">
        <v>832</v>
      </c>
    </row>
    <row r="280" spans="5:5" x14ac:dyDescent="0.35">
      <c r="E280" t="s">
        <v>833</v>
      </c>
    </row>
    <row r="281" spans="5:5" x14ac:dyDescent="0.35">
      <c r="E281" t="s">
        <v>834</v>
      </c>
    </row>
    <row r="282" spans="5:5" x14ac:dyDescent="0.35">
      <c r="E282" t="s">
        <v>835</v>
      </c>
    </row>
    <row r="283" spans="5:5" x14ac:dyDescent="0.35">
      <c r="E283" t="s">
        <v>813</v>
      </c>
    </row>
    <row r="284" spans="5:5" x14ac:dyDescent="0.35">
      <c r="E284" t="s">
        <v>836</v>
      </c>
    </row>
    <row r="285" spans="5:5" x14ac:dyDescent="0.35">
      <c r="E285" t="s">
        <v>837</v>
      </c>
    </row>
    <row r="286" spans="5:5" x14ac:dyDescent="0.35">
      <c r="E286" t="s">
        <v>838</v>
      </c>
    </row>
    <row r="287" spans="5:5" x14ac:dyDescent="0.35">
      <c r="E287" t="s">
        <v>813</v>
      </c>
    </row>
    <row r="288" spans="5:5" x14ac:dyDescent="0.35">
      <c r="E288" t="s">
        <v>839</v>
      </c>
    </row>
    <row r="289" spans="5:5" x14ac:dyDescent="0.35">
      <c r="E289" t="s">
        <v>840</v>
      </c>
    </row>
    <row r="290" spans="5:5" x14ac:dyDescent="0.35">
      <c r="E290" t="s">
        <v>841</v>
      </c>
    </row>
    <row r="291" spans="5:5" x14ac:dyDescent="0.35">
      <c r="E291" t="s">
        <v>813</v>
      </c>
    </row>
    <row r="292" spans="5:5" x14ac:dyDescent="0.35">
      <c r="E292" t="s">
        <v>842</v>
      </c>
    </row>
    <row r="293" spans="5:5" x14ac:dyDescent="0.35">
      <c r="E293" t="s">
        <v>843</v>
      </c>
    </row>
    <row r="294" spans="5:5" x14ac:dyDescent="0.35">
      <c r="E294" t="s">
        <v>844</v>
      </c>
    </row>
    <row r="295" spans="5:5" x14ac:dyDescent="0.35">
      <c r="E295" t="s">
        <v>813</v>
      </c>
    </row>
    <row r="296" spans="5:5" x14ac:dyDescent="0.35">
      <c r="E296" t="s">
        <v>845</v>
      </c>
    </row>
    <row r="297" spans="5:5" x14ac:dyDescent="0.35">
      <c r="E297" t="s">
        <v>846</v>
      </c>
    </row>
    <row r="298" spans="5:5" x14ac:dyDescent="0.35">
      <c r="E298" t="s">
        <v>847</v>
      </c>
    </row>
    <row r="299" spans="5:5" x14ac:dyDescent="0.35">
      <c r="E299" t="s">
        <v>848</v>
      </c>
    </row>
    <row r="300" spans="5:5" x14ac:dyDescent="0.35">
      <c r="E300" t="s">
        <v>813</v>
      </c>
    </row>
    <row r="301" spans="5:5" x14ac:dyDescent="0.35">
      <c r="E301" t="s">
        <v>849</v>
      </c>
    </row>
    <row r="302" spans="5:5" x14ac:dyDescent="0.35">
      <c r="E302" t="s">
        <v>850</v>
      </c>
    </row>
    <row r="303" spans="5:5" x14ac:dyDescent="0.35">
      <c r="E303" t="s">
        <v>851</v>
      </c>
    </row>
    <row r="304" spans="5:5" x14ac:dyDescent="0.35">
      <c r="E304" t="s">
        <v>813</v>
      </c>
    </row>
    <row r="305" spans="5:5" x14ac:dyDescent="0.35">
      <c r="E305" t="s">
        <v>852</v>
      </c>
    </row>
    <row r="306" spans="5:5" x14ac:dyDescent="0.35">
      <c r="E306" t="s">
        <v>853</v>
      </c>
    </row>
    <row r="307" spans="5:5" x14ac:dyDescent="0.35">
      <c r="E307" t="s">
        <v>854</v>
      </c>
    </row>
    <row r="308" spans="5:5" x14ac:dyDescent="0.35">
      <c r="E308" t="s">
        <v>813</v>
      </c>
    </row>
    <row r="309" spans="5:5" x14ac:dyDescent="0.35">
      <c r="E309" t="s">
        <v>855</v>
      </c>
    </row>
    <row r="310" spans="5:5" x14ac:dyDescent="0.35">
      <c r="E310" t="s">
        <v>856</v>
      </c>
    </row>
    <row r="311" spans="5:5" x14ac:dyDescent="0.35">
      <c r="E311" t="s">
        <v>857</v>
      </c>
    </row>
    <row r="312" spans="5:5" x14ac:dyDescent="0.35">
      <c r="E312" t="s">
        <v>813</v>
      </c>
    </row>
    <row r="313" spans="5:5" x14ac:dyDescent="0.35">
      <c r="E313" t="s">
        <v>858</v>
      </c>
    </row>
    <row r="314" spans="5:5" x14ac:dyDescent="0.35">
      <c r="E314" t="s">
        <v>859</v>
      </c>
    </row>
    <row r="315" spans="5:5" x14ac:dyDescent="0.35">
      <c r="E315" t="s">
        <v>860</v>
      </c>
    </row>
    <row r="316" spans="5:5" x14ac:dyDescent="0.35">
      <c r="E316" t="s">
        <v>813</v>
      </c>
    </row>
    <row r="317" spans="5:5" x14ac:dyDescent="0.35">
      <c r="E317" t="s">
        <v>861</v>
      </c>
    </row>
    <row r="318" spans="5:5" x14ac:dyDescent="0.35">
      <c r="E318" t="s">
        <v>862</v>
      </c>
    </row>
    <row r="319" spans="5:5" x14ac:dyDescent="0.35">
      <c r="E319" t="s">
        <v>863</v>
      </c>
    </row>
    <row r="320" spans="5:5" x14ac:dyDescent="0.35">
      <c r="E320" t="s">
        <v>864</v>
      </c>
    </row>
    <row r="322" spans="5:5" x14ac:dyDescent="0.35">
      <c r="E322" t="s">
        <v>806</v>
      </c>
    </row>
    <row r="323" spans="5:5" x14ac:dyDescent="0.35">
      <c r="E323" t="s">
        <v>865</v>
      </c>
    </row>
    <row r="324" spans="5:5" x14ac:dyDescent="0.35">
      <c r="E324" t="s">
        <v>866</v>
      </c>
    </row>
    <row r="325" spans="5:5" x14ac:dyDescent="0.35">
      <c r="E325" t="s">
        <v>867</v>
      </c>
    </row>
    <row r="326" spans="5:5" x14ac:dyDescent="0.35">
      <c r="E326" t="s">
        <v>810</v>
      </c>
    </row>
    <row r="327" spans="5:5" x14ac:dyDescent="0.35">
      <c r="E327" t="s">
        <v>868</v>
      </c>
    </row>
    <row r="328" spans="5:5" x14ac:dyDescent="0.35">
      <c r="E328" t="s">
        <v>869</v>
      </c>
    </row>
    <row r="329" spans="5:5" x14ac:dyDescent="0.35">
      <c r="E329" t="s">
        <v>813</v>
      </c>
    </row>
    <row r="330" spans="5:5" x14ac:dyDescent="0.35">
      <c r="E330" t="s">
        <v>870</v>
      </c>
    </row>
    <row r="331" spans="5:5" x14ac:dyDescent="0.35">
      <c r="E331" t="s">
        <v>813</v>
      </c>
    </row>
    <row r="332" spans="5:5" x14ac:dyDescent="0.35">
      <c r="E332" t="s">
        <v>871</v>
      </c>
    </row>
    <row r="333" spans="5:5" x14ac:dyDescent="0.35">
      <c r="E333" t="s">
        <v>872</v>
      </c>
    </row>
    <row r="334" spans="5:5" x14ac:dyDescent="0.35">
      <c r="E334" t="s">
        <v>873</v>
      </c>
    </row>
    <row r="335" spans="5:5" x14ac:dyDescent="0.35">
      <c r="E335" t="s">
        <v>874</v>
      </c>
    </row>
    <row r="336" spans="5:5" x14ac:dyDescent="0.35">
      <c r="E336" t="s">
        <v>875</v>
      </c>
    </row>
    <row r="337" spans="5:5" x14ac:dyDescent="0.35">
      <c r="E337" t="s">
        <v>876</v>
      </c>
    </row>
    <row r="338" spans="5:5" x14ac:dyDescent="0.35">
      <c r="E338" t="s">
        <v>877</v>
      </c>
    </row>
    <row r="339" spans="5:5" x14ac:dyDescent="0.35">
      <c r="E339" t="s">
        <v>878</v>
      </c>
    </row>
    <row r="340" spans="5:5" x14ac:dyDescent="0.35">
      <c r="E340" t="s">
        <v>879</v>
      </c>
    </row>
    <row r="341" spans="5:5" x14ac:dyDescent="0.35">
      <c r="E341" t="s">
        <v>880</v>
      </c>
    </row>
    <row r="344" spans="5:5" x14ac:dyDescent="0.35">
      <c r="E344" t="s">
        <v>633</v>
      </c>
    </row>
    <row r="345" spans="5:5" x14ac:dyDescent="0.35">
      <c r="E345" t="s">
        <v>881</v>
      </c>
    </row>
    <row r="346" spans="5:5" x14ac:dyDescent="0.35">
      <c r="E346" t="s">
        <v>633</v>
      </c>
    </row>
    <row r="348" spans="5:5" x14ac:dyDescent="0.35">
      <c r="E348" t="s">
        <v>882</v>
      </c>
    </row>
    <row r="349" spans="5:5" x14ac:dyDescent="0.35">
      <c r="E349" t="s">
        <v>883</v>
      </c>
    </row>
    <row r="350" spans="5:5" x14ac:dyDescent="0.35">
      <c r="E350" t="s">
        <v>884</v>
      </c>
    </row>
    <row r="351" spans="5:5" x14ac:dyDescent="0.35">
      <c r="E351" t="s">
        <v>885</v>
      </c>
    </row>
    <row r="352" spans="5:5" x14ac:dyDescent="0.35">
      <c r="E352" t="s">
        <v>886</v>
      </c>
    </row>
    <row r="353" spans="5:5" x14ac:dyDescent="0.35">
      <c r="E353" t="s">
        <v>887</v>
      </c>
    </row>
    <row r="354" spans="5:5" x14ac:dyDescent="0.35">
      <c r="E354" t="s">
        <v>633</v>
      </c>
    </row>
    <row r="355" spans="5:5" x14ac:dyDescent="0.35">
      <c r="E355" t="s">
        <v>888</v>
      </c>
    </row>
    <row r="356" spans="5:5" x14ac:dyDescent="0.35">
      <c r="E356" t="s">
        <v>889</v>
      </c>
    </row>
    <row r="357" spans="5:5" x14ac:dyDescent="0.35">
      <c r="E357" t="s">
        <v>890</v>
      </c>
    </row>
    <row r="358" spans="5:5" x14ac:dyDescent="0.35">
      <c r="E358" t="s">
        <v>633</v>
      </c>
    </row>
    <row r="360" spans="5:5" x14ac:dyDescent="0.35">
      <c r="E360" t="s">
        <v>637</v>
      </c>
    </row>
    <row r="361" spans="5:5" x14ac:dyDescent="0.35">
      <c r="E361" t="s">
        <v>891</v>
      </c>
    </row>
    <row r="363" spans="5:5" x14ac:dyDescent="0.35">
      <c r="E363" t="s">
        <v>633</v>
      </c>
    </row>
    <row r="364" spans="5:5" x14ac:dyDescent="0.35">
      <c r="E364" t="s">
        <v>892</v>
      </c>
    </row>
    <row r="365" spans="5:5" x14ac:dyDescent="0.35">
      <c r="E365" t="s">
        <v>633</v>
      </c>
    </row>
    <row r="367" spans="5:5" x14ac:dyDescent="0.35">
      <c r="E367" t="s">
        <v>893</v>
      </c>
    </row>
    <row r="368" spans="5:5" x14ac:dyDescent="0.35">
      <c r="E368" t="s">
        <v>894</v>
      </c>
    </row>
    <row r="369" spans="5:5" x14ac:dyDescent="0.35">
      <c r="E369" t="s">
        <v>895</v>
      </c>
    </row>
    <row r="370" spans="5:5" x14ac:dyDescent="0.35">
      <c r="E370" t="s">
        <v>896</v>
      </c>
    </row>
    <row r="371" spans="5:5" x14ac:dyDescent="0.35">
      <c r="E371" t="s">
        <v>897</v>
      </c>
    </row>
    <row r="372" spans="5:5" x14ac:dyDescent="0.35">
      <c r="E372" t="s">
        <v>898</v>
      </c>
    </row>
    <row r="373" spans="5:5" x14ac:dyDescent="0.35">
      <c r="E373" t="s">
        <v>899</v>
      </c>
    </row>
    <row r="374" spans="5:5" x14ac:dyDescent="0.35">
      <c r="E374" t="s">
        <v>900</v>
      </c>
    </row>
    <row r="375" spans="5:5" x14ac:dyDescent="0.35">
      <c r="E375" t="s">
        <v>901</v>
      </c>
    </row>
    <row r="377" spans="5:5" x14ac:dyDescent="0.35">
      <c r="E377" t="s">
        <v>902</v>
      </c>
    </row>
    <row r="378" spans="5:5" x14ac:dyDescent="0.35">
      <c r="E378" t="s">
        <v>903</v>
      </c>
    </row>
    <row r="379" spans="5:5" x14ac:dyDescent="0.35">
      <c r="E379" t="s">
        <v>904</v>
      </c>
    </row>
    <row r="380" spans="5:5" x14ac:dyDescent="0.35">
      <c r="E380" t="s">
        <v>905</v>
      </c>
    </row>
    <row r="382" spans="5:5" x14ac:dyDescent="0.35">
      <c r="E382" t="s">
        <v>906</v>
      </c>
    </row>
    <row r="383" spans="5:5" x14ac:dyDescent="0.35">
      <c r="E383" t="s">
        <v>907</v>
      </c>
    </row>
    <row r="384" spans="5:5" x14ac:dyDescent="0.35">
      <c r="E384" t="s">
        <v>908</v>
      </c>
    </row>
    <row r="385" spans="5:5" x14ac:dyDescent="0.35">
      <c r="E385" t="s">
        <v>909</v>
      </c>
    </row>
    <row r="386" spans="5:5" x14ac:dyDescent="0.35">
      <c r="E386" t="s">
        <v>910</v>
      </c>
    </row>
    <row r="387" spans="5:5" x14ac:dyDescent="0.35">
      <c r="E387" t="s">
        <v>911</v>
      </c>
    </row>
    <row r="389" spans="5:5" x14ac:dyDescent="0.35">
      <c r="E389" t="s">
        <v>912</v>
      </c>
    </row>
    <row r="390" spans="5:5" x14ac:dyDescent="0.35">
      <c r="E390" t="s">
        <v>913</v>
      </c>
    </row>
    <row r="391" spans="5:5" x14ac:dyDescent="0.35">
      <c r="E391" t="s">
        <v>914</v>
      </c>
    </row>
    <row r="392" spans="5:5" x14ac:dyDescent="0.35">
      <c r="E392" t="s">
        <v>915</v>
      </c>
    </row>
    <row r="394" spans="5:5" x14ac:dyDescent="0.35">
      <c r="E394" t="s">
        <v>633</v>
      </c>
    </row>
    <row r="395" spans="5:5" x14ac:dyDescent="0.35">
      <c r="E395" t="s">
        <v>916</v>
      </c>
    </row>
    <row r="396" spans="5:5" x14ac:dyDescent="0.35">
      <c r="E396" t="s">
        <v>633</v>
      </c>
    </row>
    <row r="398" spans="5:5" x14ac:dyDescent="0.35">
      <c r="E398" t="s">
        <v>679</v>
      </c>
    </row>
    <row r="399" spans="5:5" x14ac:dyDescent="0.35">
      <c r="E399" t="s">
        <v>680</v>
      </c>
    </row>
    <row r="400" spans="5:5" x14ac:dyDescent="0.35">
      <c r="E400" t="s">
        <v>681</v>
      </c>
    </row>
    <row r="401" spans="5:5" x14ac:dyDescent="0.35">
      <c r="E401" t="s">
        <v>917</v>
      </c>
    </row>
    <row r="402" spans="5:5" x14ac:dyDescent="0.35">
      <c r="E402" t="s">
        <v>918</v>
      </c>
    </row>
    <row r="403" spans="5:5" x14ac:dyDescent="0.35">
      <c r="E403" t="s">
        <v>919</v>
      </c>
    </row>
    <row r="404" spans="5:5" x14ac:dyDescent="0.35">
      <c r="E404" t="s">
        <v>920</v>
      </c>
    </row>
    <row r="406" spans="5:5" x14ac:dyDescent="0.35">
      <c r="E406" t="s">
        <v>921</v>
      </c>
    </row>
    <row r="407" spans="5:5" x14ac:dyDescent="0.35">
      <c r="E407" t="s">
        <v>922</v>
      </c>
    </row>
    <row r="408" spans="5:5" x14ac:dyDescent="0.35">
      <c r="E408" t="s">
        <v>923</v>
      </c>
    </row>
    <row r="410" spans="5:5" x14ac:dyDescent="0.35">
      <c r="E410" t="s">
        <v>689</v>
      </c>
    </row>
    <row r="411" spans="5:5" x14ac:dyDescent="0.35">
      <c r="E411" t="s">
        <v>924</v>
      </c>
    </row>
    <row r="412" spans="5:5" x14ac:dyDescent="0.35">
      <c r="E412" t="s">
        <v>925</v>
      </c>
    </row>
    <row r="414" spans="5:5" x14ac:dyDescent="0.35">
      <c r="E414" t="s">
        <v>926</v>
      </c>
    </row>
    <row r="415" spans="5:5" x14ac:dyDescent="0.35">
      <c r="E415" t="s">
        <v>927</v>
      </c>
    </row>
    <row r="416" spans="5:5" x14ac:dyDescent="0.35">
      <c r="E416" t="s">
        <v>928</v>
      </c>
    </row>
    <row r="417" spans="5:5" x14ac:dyDescent="0.35">
      <c r="E417" t="s">
        <v>929</v>
      </c>
    </row>
    <row r="418" spans="5:5" x14ac:dyDescent="0.35">
      <c r="E418" t="s">
        <v>930</v>
      </c>
    </row>
    <row r="419" spans="5:5" x14ac:dyDescent="0.35">
      <c r="E419" t="s">
        <v>931</v>
      </c>
    </row>
    <row r="421" spans="5:5" x14ac:dyDescent="0.35">
      <c r="E421" t="s">
        <v>932</v>
      </c>
    </row>
    <row r="422" spans="5:5" x14ac:dyDescent="0.35">
      <c r="E422" t="s">
        <v>933</v>
      </c>
    </row>
    <row r="424" spans="5:5" x14ac:dyDescent="0.35">
      <c r="E424" t="s">
        <v>714</v>
      </c>
    </row>
    <row r="425" spans="5:5" x14ac:dyDescent="0.35">
      <c r="E425" t="s">
        <v>715</v>
      </c>
    </row>
    <row r="426" spans="5:5" x14ac:dyDescent="0.35">
      <c r="E426" t="s">
        <v>934</v>
      </c>
    </row>
    <row r="427" spans="5:5" x14ac:dyDescent="0.35">
      <c r="E427" t="s">
        <v>935</v>
      </c>
    </row>
    <row r="428" spans="5:5" x14ac:dyDescent="0.35">
      <c r="E428" t="s">
        <v>936</v>
      </c>
    </row>
    <row r="430" spans="5:5" x14ac:dyDescent="0.35">
      <c r="E430" t="s">
        <v>719</v>
      </c>
    </row>
    <row r="431" spans="5:5" x14ac:dyDescent="0.35">
      <c r="E431" t="s">
        <v>720</v>
      </c>
    </row>
    <row r="432" spans="5:5" x14ac:dyDescent="0.35">
      <c r="E432" t="s">
        <v>721</v>
      </c>
    </row>
    <row r="433" spans="5:5" x14ac:dyDescent="0.35">
      <c r="E433" t="s">
        <v>722</v>
      </c>
    </row>
    <row r="434" spans="5:5" x14ac:dyDescent="0.35">
      <c r="E434" t="s">
        <v>723</v>
      </c>
    </row>
    <row r="436" spans="5:5" x14ac:dyDescent="0.35">
      <c r="E436" t="s">
        <v>734</v>
      </c>
    </row>
    <row r="437" spans="5:5" x14ac:dyDescent="0.35">
      <c r="E437" t="s">
        <v>937</v>
      </c>
    </row>
    <row r="438" spans="5:5" x14ac:dyDescent="0.35">
      <c r="E438" t="s">
        <v>736</v>
      </c>
    </row>
    <row r="439" spans="5:5" x14ac:dyDescent="0.35">
      <c r="E439" t="s">
        <v>938</v>
      </c>
    </row>
    <row r="441" spans="5:5" x14ac:dyDescent="0.35">
      <c r="E441" t="s">
        <v>939</v>
      </c>
    </row>
    <row r="442" spans="5:5" x14ac:dyDescent="0.35">
      <c r="E442" t="s">
        <v>940</v>
      </c>
    </row>
    <row r="443" spans="5:5" x14ac:dyDescent="0.35">
      <c r="E443" t="s">
        <v>741</v>
      </c>
    </row>
    <row r="444" spans="5:5" x14ac:dyDescent="0.35">
      <c r="E444" t="s">
        <v>941</v>
      </c>
    </row>
    <row r="446" spans="5:5" x14ac:dyDescent="0.35">
      <c r="E446" t="s">
        <v>744</v>
      </c>
    </row>
    <row r="447" spans="5:5" x14ac:dyDescent="0.35">
      <c r="E447" t="s">
        <v>942</v>
      </c>
    </row>
    <row r="448" spans="5:5" x14ac:dyDescent="0.35">
      <c r="E448" t="s">
        <v>746</v>
      </c>
    </row>
    <row r="449" spans="5:5" x14ac:dyDescent="0.35">
      <c r="E449" t="s">
        <v>943</v>
      </c>
    </row>
    <row r="451" spans="5:5" x14ac:dyDescent="0.35">
      <c r="E451" t="s">
        <v>749</v>
      </c>
    </row>
    <row r="452" spans="5:5" x14ac:dyDescent="0.35">
      <c r="E452" t="s">
        <v>750</v>
      </c>
    </row>
    <row r="454" spans="5:5" x14ac:dyDescent="0.35">
      <c r="E454" t="s">
        <v>944</v>
      </c>
    </row>
    <row r="455" spans="5:5" x14ac:dyDescent="0.35">
      <c r="E455" t="s">
        <v>945</v>
      </c>
    </row>
    <row r="456" spans="5:5" x14ac:dyDescent="0.35">
      <c r="E456" t="s">
        <v>759</v>
      </c>
    </row>
    <row r="458" spans="5:5" x14ac:dyDescent="0.35">
      <c r="E458" t="s">
        <v>633</v>
      </c>
    </row>
    <row r="459" spans="5:5" x14ac:dyDescent="0.35">
      <c r="E459" t="s">
        <v>946</v>
      </c>
    </row>
    <row r="460" spans="5:5" x14ac:dyDescent="0.35">
      <c r="E460" t="s">
        <v>633</v>
      </c>
    </row>
    <row r="462" spans="5:5" x14ac:dyDescent="0.35">
      <c r="E462" t="s">
        <v>947</v>
      </c>
    </row>
    <row r="463" spans="5:5" x14ac:dyDescent="0.35">
      <c r="E463" t="s">
        <v>948</v>
      </c>
    </row>
    <row r="464" spans="5:5" x14ac:dyDescent="0.35">
      <c r="E464" t="s">
        <v>949</v>
      </c>
    </row>
    <row r="465" spans="5:5" x14ac:dyDescent="0.35">
      <c r="E465" t="s">
        <v>950</v>
      </c>
    </row>
    <row r="466" spans="5:5" x14ac:dyDescent="0.35">
      <c r="E466" t="s">
        <v>951</v>
      </c>
    </row>
    <row r="468" spans="5:5" x14ac:dyDescent="0.35">
      <c r="E468" t="s">
        <v>952</v>
      </c>
    </row>
    <row r="469" spans="5:5" x14ac:dyDescent="0.35">
      <c r="E469" t="s">
        <v>953</v>
      </c>
    </row>
    <row r="471" spans="5:5" x14ac:dyDescent="0.35">
      <c r="E471" t="s">
        <v>954</v>
      </c>
    </row>
    <row r="472" spans="5:5" x14ac:dyDescent="0.35">
      <c r="E472" t="s">
        <v>955</v>
      </c>
    </row>
    <row r="473" spans="5:5" x14ac:dyDescent="0.35">
      <c r="E473" t="s">
        <v>956</v>
      </c>
    </row>
    <row r="475" spans="5:5" x14ac:dyDescent="0.35">
      <c r="E475" t="s">
        <v>957</v>
      </c>
    </row>
    <row r="477" spans="5:5" x14ac:dyDescent="0.35">
      <c r="E477" t="s">
        <v>958</v>
      </c>
    </row>
    <row r="478" spans="5:5" x14ac:dyDescent="0.35">
      <c r="E478" t="s">
        <v>959</v>
      </c>
    </row>
    <row r="479" spans="5:5" x14ac:dyDescent="0.35">
      <c r="E479" t="s">
        <v>960</v>
      </c>
    </row>
    <row r="480" spans="5:5" x14ac:dyDescent="0.35">
      <c r="E480" t="s">
        <v>961</v>
      </c>
    </row>
    <row r="481" spans="5:5" x14ac:dyDescent="0.35">
      <c r="E481" t="s">
        <v>962</v>
      </c>
    </row>
    <row r="483" spans="5:5" x14ac:dyDescent="0.35">
      <c r="E483" t="s">
        <v>963</v>
      </c>
    </row>
    <row r="484" spans="5:5" x14ac:dyDescent="0.35">
      <c r="E484" t="s">
        <v>964</v>
      </c>
    </row>
    <row r="485" spans="5:5" x14ac:dyDescent="0.35">
      <c r="E485" t="s">
        <v>965</v>
      </c>
    </row>
    <row r="486" spans="5:5" x14ac:dyDescent="0.35">
      <c r="E486" t="s">
        <v>966</v>
      </c>
    </row>
    <row r="488" spans="5:5" x14ac:dyDescent="0.35">
      <c r="E488" t="s">
        <v>633</v>
      </c>
    </row>
    <row r="489" spans="5:5" x14ac:dyDescent="0.35">
      <c r="E489" t="s">
        <v>967</v>
      </c>
    </row>
    <row r="490" spans="5:5" x14ac:dyDescent="0.35">
      <c r="E490" t="s">
        <v>633</v>
      </c>
    </row>
    <row r="491" spans="5:5" x14ac:dyDescent="0.35">
      <c r="E491" t="s">
        <v>968</v>
      </c>
    </row>
    <row r="492" spans="5:5" x14ac:dyDescent="0.35">
      <c r="E492" t="s">
        <v>969</v>
      </c>
    </row>
    <row r="493" spans="5:5" x14ac:dyDescent="0.35">
      <c r="E493" t="s">
        <v>970</v>
      </c>
    </row>
    <row r="495" spans="5:5" x14ac:dyDescent="0.35">
      <c r="E495" t="s">
        <v>971</v>
      </c>
    </row>
    <row r="496" spans="5:5" x14ac:dyDescent="0.35">
      <c r="E496" t="s">
        <v>972</v>
      </c>
    </row>
    <row r="497" spans="5:5" x14ac:dyDescent="0.35">
      <c r="E497" t="s">
        <v>973</v>
      </c>
    </row>
    <row r="498" spans="5:5" x14ac:dyDescent="0.35">
      <c r="E498" t="s">
        <v>974</v>
      </c>
    </row>
    <row r="499" spans="5:5" x14ac:dyDescent="0.35">
      <c r="E499" t="s">
        <v>975</v>
      </c>
    </row>
    <row r="500" spans="5:5" x14ac:dyDescent="0.35">
      <c r="E500" t="s">
        <v>976</v>
      </c>
    </row>
    <row r="502" spans="5:5" x14ac:dyDescent="0.35">
      <c r="E502" t="s">
        <v>977</v>
      </c>
    </row>
    <row r="503" spans="5:5" x14ac:dyDescent="0.35">
      <c r="E503" t="s">
        <v>978</v>
      </c>
    </row>
    <row r="504" spans="5:5" x14ac:dyDescent="0.35">
      <c r="E504" t="s">
        <v>979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793201-bed7-4ad0-b265-3e6b41c2f5b7}" enabled="0" method="" siteId="{8b793201-bed7-4ad0-b265-3e6b41c2f5b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Claude Log</vt:lpstr>
      <vt:lpstr>Summary</vt:lpstr>
      <vt:lpstr>BABA Key Metrics</vt:lpstr>
      <vt:lpstr>DCF Valuation</vt:lpstr>
      <vt:lpstr>Segment Forecasts</vt:lpstr>
      <vt:lpstr>Historical Financials</vt:lpstr>
      <vt:lpstr>China Market Cycle</vt:lpstr>
      <vt:lpstr>To 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 LIM WU XUAN (SBIZ)</dc:creator>
  <cp:lastModifiedBy># LIM WU XUAN (SBIZ)</cp:lastModifiedBy>
  <dcterms:created xsi:type="dcterms:W3CDTF">2026-02-20T02:58:58Z</dcterms:created>
  <dcterms:modified xsi:type="dcterms:W3CDTF">2026-02-21T00:05:46Z</dcterms:modified>
</cp:coreProperties>
</file>